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760F2810-2F65-41D8-A5AC-3E247ACFBBA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A" sheetId="2" r:id="rId1"/>
  </sheets>
  <definedNames>
    <definedName name="_xlnm._FilterDatabase" localSheetId="0" hidden="1">DATA!$A$1:$K$106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6" i="2" l="1"/>
  <c r="E105" i="2"/>
  <c r="E104" i="2"/>
  <c r="E103" i="2"/>
  <c r="E102" i="2"/>
  <c r="E101" i="2" l="1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<sst xmlns="http://schemas.openxmlformats.org/spreadsheetml/2006/main" count="771" uniqueCount="243">
  <si>
    <t>Apellidos</t>
  </si>
  <si>
    <t>Nombres</t>
  </si>
  <si>
    <t>VELASCO CAÑAS</t>
  </si>
  <si>
    <t>HUMBERTO JOSE</t>
  </si>
  <si>
    <t>SANCHEZ MOLINA</t>
  </si>
  <si>
    <t>YENNY DEL CARMEN</t>
  </si>
  <si>
    <t>CONTRERAS DIAZ</t>
  </si>
  <si>
    <t>YLIANA MARGARITA</t>
  </si>
  <si>
    <t>GONZALEZ MARQUEZ</t>
  </si>
  <si>
    <t>CRISPULO JOSE</t>
  </si>
  <si>
    <t>PRIETO VELASCO</t>
  </si>
  <si>
    <t>EFREN ANTONIO</t>
  </si>
  <si>
    <t>RIVAS MALDONADO</t>
  </si>
  <si>
    <t>NIURIS GISELA</t>
  </si>
  <si>
    <t>ROJAS</t>
  </si>
  <si>
    <t>YURAIMA ELIZABETH</t>
  </si>
  <si>
    <t>PEREZ ZERPA</t>
  </si>
  <si>
    <t>ARTURO JOSE</t>
  </si>
  <si>
    <t>RONDON ARISMENDI</t>
  </si>
  <si>
    <t>MIRLEIDY DEL ROSARIO</t>
  </si>
  <si>
    <t>MARTINEZ GUZMAN</t>
  </si>
  <si>
    <t>NANCY</t>
  </si>
  <si>
    <t>GONZALEZ PERNALETE</t>
  </si>
  <si>
    <t>LIONEL RAMON</t>
  </si>
  <si>
    <t>SANCHEZ VELASCO</t>
  </si>
  <si>
    <t>DESIREE MARIA</t>
  </si>
  <si>
    <t>BRICEÑO BALZA</t>
  </si>
  <si>
    <t>ANTONIO RAMON</t>
  </si>
  <si>
    <t>CONTRERAS RAMIREZ</t>
  </si>
  <si>
    <t>MILANLLYLY YANIL</t>
  </si>
  <si>
    <t>VILLARREAL</t>
  </si>
  <si>
    <t>MAGALLY DEL CARMEN</t>
  </si>
  <si>
    <t>DUGARTE HERNANDEZ</t>
  </si>
  <si>
    <t>LEIDO DARIO</t>
  </si>
  <si>
    <t>CONTRERAS SANCHEZ</t>
  </si>
  <si>
    <t>YVONNE</t>
  </si>
  <si>
    <t>CARRILLO GUTIERREZ</t>
  </si>
  <si>
    <t>MARIA MARBELYS</t>
  </si>
  <si>
    <t>RODRIGUEZ MEJIA</t>
  </si>
  <si>
    <t>ALIRIO JOSE</t>
  </si>
  <si>
    <t>YAMILE DAYANA</t>
  </si>
  <si>
    <t>GUERRERO UZCATEGUI</t>
  </si>
  <si>
    <t>CARLOS EDUARDO</t>
  </si>
  <si>
    <t>SOTO CASTRO</t>
  </si>
  <si>
    <t>JESUS ALFONSO</t>
  </si>
  <si>
    <t>GABRIEL HUMBERTO</t>
  </si>
  <si>
    <t>CAMACHO ROSALES</t>
  </si>
  <si>
    <t>MARCO TULIO</t>
  </si>
  <si>
    <t>RAMIREZ ROSALES</t>
  </si>
  <si>
    <t>SELVA DE LA CRUZ</t>
  </si>
  <si>
    <t>VELASCO CARRERO</t>
  </si>
  <si>
    <t>DANIEL ALONSO</t>
  </si>
  <si>
    <t>MORA NOGUERA</t>
  </si>
  <si>
    <t>LUIS EMIRO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</si>
  <si>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</si>
  <si>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</si>
  <si>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</si>
  <si>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</si>
  <si>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</si>
  <si>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</si>
  <si>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</si>
  <si>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</si>
  <si>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M</t>
  </si>
  <si>
    <t>TITULAR</t>
  </si>
  <si>
    <t>S</t>
  </si>
  <si>
    <t>MERIDA</t>
  </si>
  <si>
    <t>F</t>
  </si>
  <si>
    <t>C</t>
  </si>
  <si>
    <t>ZEA</t>
  </si>
  <si>
    <t>ERVITI ESPINOZA</t>
  </si>
  <si>
    <t>FERMIN ORLANDO</t>
  </si>
  <si>
    <t>ERVITI SANCHEZ</t>
  </si>
  <si>
    <t>JOSE FERMIN</t>
  </si>
  <si>
    <t>HIJO</t>
  </si>
  <si>
    <t>YENNIFER MICHELL SOPHIE</t>
  </si>
  <si>
    <t>HIJA</t>
  </si>
  <si>
    <t>DIAZ DE CONTRERAS</t>
  </si>
  <si>
    <t>MARIA MAGDALENA</t>
  </si>
  <si>
    <t>MADRE</t>
  </si>
  <si>
    <t>V</t>
  </si>
  <si>
    <t>GARCIA LOPEZ</t>
  </si>
  <si>
    <t>ROSA AMERICA</t>
  </si>
  <si>
    <t>LOBO GONZALEZ</t>
  </si>
  <si>
    <t>SAMIRA ISABELLA</t>
  </si>
  <si>
    <t>SAMER ISAAC</t>
  </si>
  <si>
    <t>6234691-1</t>
  </si>
  <si>
    <t>ADA MARLENE</t>
  </si>
  <si>
    <t>ARAQUE IZARRA</t>
  </si>
  <si>
    <t>RAMON ARTURO</t>
  </si>
  <si>
    <t>MALDONADO GUERRERO</t>
  </si>
  <si>
    <t>GLORIS</t>
  </si>
  <si>
    <t>RODRIGUEZ MARQUEZ</t>
  </si>
  <si>
    <t>PAULA ZARETH</t>
  </si>
  <si>
    <t>11956781-1</t>
  </si>
  <si>
    <t>NIETA</t>
  </si>
  <si>
    <t>PAUL SANTIAGO</t>
  </si>
  <si>
    <t>11956781-2</t>
  </si>
  <si>
    <t>NIETO</t>
  </si>
  <si>
    <t>MARIA FLOR</t>
  </si>
  <si>
    <t>OBANDO UZCATEGUI</t>
  </si>
  <si>
    <t>JULIO CESAR</t>
  </si>
  <si>
    <t>PADRE</t>
  </si>
  <si>
    <t>SOSA GUTIERRES</t>
  </si>
  <si>
    <t>ASLHEY ANDREINA</t>
  </si>
  <si>
    <t>11465358-1</t>
  </si>
  <si>
    <t>GUTIERRES GABIDIA</t>
  </si>
  <si>
    <t>ILIANNY RICHELL</t>
  </si>
  <si>
    <t>11465358-2</t>
  </si>
  <si>
    <t>QUINTERO QUINTERO</t>
  </si>
  <si>
    <t>MARIA YOLANDA</t>
  </si>
  <si>
    <t>PEREZ QUINTERO</t>
  </si>
  <si>
    <t>RICARDO ARTURO</t>
  </si>
  <si>
    <t>CARNEVALI PEREZ</t>
  </si>
  <si>
    <t>TOMAS ALESSANDRO</t>
  </si>
  <si>
    <t>LUKAS IGNACIO</t>
  </si>
  <si>
    <t>8025028-1</t>
  </si>
  <si>
    <t>ALBORNOZ AVILA</t>
  </si>
  <si>
    <t>ISAAC DANIEL DE JESUS</t>
  </si>
  <si>
    <t>ALBORNOZ RONDON</t>
  </si>
  <si>
    <t>ESTEFANI DANILET</t>
  </si>
  <si>
    <t>19048193-1</t>
  </si>
  <si>
    <t>DAILET MARIANGELA</t>
  </si>
  <si>
    <t>ARISMENDI DE RONDON</t>
  </si>
  <si>
    <t>ANA MIREYA</t>
  </si>
  <si>
    <t>RONDON VILLAMIZAR</t>
  </si>
  <si>
    <t>NELSO</t>
  </si>
  <si>
    <t>BERNAL LUGO</t>
  </si>
  <si>
    <t>MILTON ANDRES</t>
  </si>
  <si>
    <t>BERNAL MARTINEZ</t>
  </si>
  <si>
    <t>ISABELLA</t>
  </si>
  <si>
    <t>BASTIDAS QUINTERO</t>
  </si>
  <si>
    <t>CHALVI MARGARITA</t>
  </si>
  <si>
    <t>CARRERO PEREIRA</t>
  </si>
  <si>
    <t>NESTOR ENRIQUE</t>
  </si>
  <si>
    <t>CARRERO SANCHEZ</t>
  </si>
  <si>
    <t>FERNANDA ESTEFANIA</t>
  </si>
  <si>
    <t>16473412-1</t>
  </si>
  <si>
    <t>ANA CARLOTA</t>
  </si>
  <si>
    <t>16473412-2</t>
  </si>
  <si>
    <t>SANCHEZ MENDEZ</t>
  </si>
  <si>
    <t>PEDRO JOSE</t>
  </si>
  <si>
    <t>VELASCO DE SANCHEZ</t>
  </si>
  <si>
    <t>DEISY YAMILE</t>
  </si>
  <si>
    <t>RODRIGUEZ GUILLEN</t>
  </si>
  <si>
    <t>EDGAR JOSE</t>
  </si>
  <si>
    <t>RODRIGUEZ CONTRERAS</t>
  </si>
  <si>
    <t>EMILIANO ABRAHAMS</t>
  </si>
  <si>
    <t>19593741-1</t>
  </si>
  <si>
    <t>PARADA MOLINA</t>
  </si>
  <si>
    <t>FRANCYS VALENTINA</t>
  </si>
  <si>
    <t>ALTUVE MOLINA</t>
  </si>
  <si>
    <t>YOMAR ANTONIO</t>
  </si>
  <si>
    <t>FRANK DAVID</t>
  </si>
  <si>
    <t>6363526-1</t>
  </si>
  <si>
    <t>MOLINA PARADA</t>
  </si>
  <si>
    <t>THIAGO JESUS</t>
  </si>
  <si>
    <t>6363526-2</t>
  </si>
  <si>
    <t>ROJAS MONSALVE</t>
  </si>
  <si>
    <t>ADRIANA CAROLNA</t>
  </si>
  <si>
    <t>DUGARTE PEÑALOZA</t>
  </si>
  <si>
    <t>DARIO ALEJANDRO</t>
  </si>
  <si>
    <t>SAMUEL DAVID</t>
  </si>
  <si>
    <t>DUGARTE ROJAS</t>
  </si>
  <si>
    <t>ANGELIK NAZARETH</t>
  </si>
  <si>
    <t>BARILLAS CONTRERAS</t>
  </si>
  <si>
    <t>FABIOLA ITZAI</t>
  </si>
  <si>
    <t>MOLINA BARILLAS</t>
  </si>
  <si>
    <t>BRIANA GISELL</t>
  </si>
  <si>
    <t>10106595-1</t>
  </si>
  <si>
    <t>VALERY LUCIANA</t>
  </si>
  <si>
    <t>10106595-2</t>
  </si>
  <si>
    <t>IZARRA LEON</t>
  </si>
  <si>
    <t>MILAN ABRAHAM</t>
  </si>
  <si>
    <t>10106595-3</t>
  </si>
  <si>
    <t>MAXIMILLAN ARTURO</t>
  </si>
  <si>
    <t>10106595-4</t>
  </si>
  <si>
    <t>MARIA JOSE</t>
  </si>
  <si>
    <t>15923785-1</t>
  </si>
  <si>
    <t>EJIDO</t>
  </si>
  <si>
    <t>LAURA ESTELA</t>
  </si>
  <si>
    <t>PEDRO ALIRIO</t>
  </si>
  <si>
    <t>SOTO SANCHEZ</t>
  </si>
  <si>
    <t>MATIAS ALEJANDRO</t>
  </si>
  <si>
    <t>SAMUEL JESUS</t>
  </si>
  <si>
    <t>16305168-1</t>
  </si>
  <si>
    <t>SANCHEZ VIELMA</t>
  </si>
  <si>
    <t>ANGIE REBECCA</t>
  </si>
  <si>
    <t>UZCATEGUI ALBORNOZ</t>
  </si>
  <si>
    <t>MARIA INOCENCIA</t>
  </si>
  <si>
    <t>GUERRERO</t>
  </si>
  <si>
    <t>ISIDRO</t>
  </si>
  <si>
    <t>GUERRERO SANCHEZ</t>
  </si>
  <si>
    <t>HANNAB JIMENA</t>
  </si>
  <si>
    <t>23724977-1</t>
  </si>
  <si>
    <t>TOVAR</t>
  </si>
  <si>
    <t>QUINTERO HERRERA</t>
  </si>
  <si>
    <t>KAREN NAYARI</t>
  </si>
  <si>
    <t>SOTO QUINTERO</t>
  </si>
  <si>
    <t>JESUS EDUARDO</t>
  </si>
  <si>
    <t>17770737-1</t>
  </si>
  <si>
    <t>CASTRO GUTIERREZ</t>
  </si>
  <si>
    <t>SONIA RITA</t>
  </si>
  <si>
    <t>D</t>
  </si>
  <si>
    <t>SOTO CONTRERAS</t>
  </si>
  <si>
    <t>PEDRO ALFONSO</t>
  </si>
  <si>
    <t>PEREZ VALERA</t>
  </si>
  <si>
    <t>CAROLINA JOSE</t>
  </si>
  <si>
    <t>PRIETO PEREZ</t>
  </si>
  <si>
    <t>SANTIAGO ALEJANDRO</t>
  </si>
  <si>
    <t>19046557-1</t>
  </si>
  <si>
    <t>ANTONELLA CAROLINA</t>
  </si>
  <si>
    <t>19046557-2</t>
  </si>
  <si>
    <t>CAMACHO AGUILAR</t>
  </si>
  <si>
    <t>MATIAS URIEL</t>
  </si>
  <si>
    <t>ROSALES DE CAMACHO</t>
  </si>
  <si>
    <t>MARIA HORTENCIA</t>
  </si>
  <si>
    <t>CAMACHO MOLINA</t>
  </si>
  <si>
    <t>RODRIGUEZ VIELMA</t>
  </si>
  <si>
    <t>CARLOS ALBERTO</t>
  </si>
  <si>
    <t>ARELLANO GUERRERO</t>
  </si>
  <si>
    <t>VANESSA DEL VALLE</t>
  </si>
  <si>
    <t>VELASCO ARELLANO</t>
  </si>
  <si>
    <t>THOMAS ALONSO</t>
  </si>
  <si>
    <t>MIRANDA LUCIA</t>
  </si>
  <si>
    <t>16906551-1</t>
  </si>
  <si>
    <t>GERMAN ALONSO</t>
  </si>
  <si>
    <t>CARRERO DE VELASCO</t>
  </si>
  <si>
    <t>OMAIRA DEL CARMEN</t>
  </si>
  <si>
    <t>RODRIGUEZ DE CASTRO</t>
  </si>
  <si>
    <t>MIRIAM TERESA</t>
  </si>
  <si>
    <t xml:space="preserve">VELASCO DE GONZALEZ </t>
  </si>
  <si>
    <t>YRALI ALEXANDRA</t>
  </si>
  <si>
    <t>GONZALEZ ZERPA</t>
  </si>
  <si>
    <t>JESUS ALEXANDER</t>
  </si>
  <si>
    <t>JESUS ALBERTO</t>
  </si>
  <si>
    <t>MOLINA DE VELASCO</t>
  </si>
  <si>
    <t>DEISY FLOR</t>
  </si>
  <si>
    <t>Tel Movil</t>
  </si>
  <si>
    <t>email</t>
  </si>
  <si>
    <t>comentario</t>
  </si>
  <si>
    <t>BENEFICIARIO</t>
  </si>
  <si>
    <t>CONYUGUE MASCULINO</t>
  </si>
  <si>
    <t>CONYUGUE FEMENINO SIN MATERNIDAD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</si>
</sst>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9"/>
      <name val="Calibri"/>
      <family val="2"/>
    </font>
    <font>
      <sz val="9"/>
      <color indexed="2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164" fontId="0" fillId="4" borderId="0" xfId="0" applyNumberFormat="1" applyFill="1"/>
    <xf numFmtId="0" fontId="1" fillId="2" borderId="0" xfId="0" applyFont="1" applyFill="1" applyAlignment="1">
      <alignment horizontal="center" vertical="center"/>
    </xf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3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family val="2"/>
        <scheme val="none"/>
      </font>
      <fill>
        <patternFill patternType="solid">
          <fgColor indexed="55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9F42D-4620-4ABC-B3E0-284FCD68B04A}" name="Tabla1" displayName="Tabla1" ref="A1:M106" totalsRowShown="0" headerRowDxfId="10" tableBorderDxfId="9">
  <autoFilter ref="A1:M106" xr:uid="{A979F42D-4620-4ABC-B3E0-284FCD68B04A}"/>
  <tableColumns count="13">
    <tableColumn id="1" xr3:uid="{1EBDED88-D2E5-43A8-A3BE-6B2DC25B0817}" name="Apellidos" dataDxfId="8"/>
    <tableColumn id="2" xr3:uid="{77671094-3344-4A0D-AD24-E7E691E6D2FF}" name="Nombres" dataDxfId="7"/>
    <tableColumn id="3" xr3:uid="{C7DA4562-450E-4387-AF9A-692BC23AD929}" name="Genero" dataDxfId="6"/>
    <tableColumn id="4" xr3:uid="{8B6273B5-471E-44B9-BC4B-CF65EB4C94AA}" name="Fecha de Nacimiento"/>
    <tableColumn id="5" xr3:uid="{E6D68B55-8F65-425A-A99D-6814E1885D42}" name="EDAD" dataDxfId="5"/>
    <tableColumn id="6" xr3:uid="{38B6FC94-2967-434F-90B9-008DABAA62F4}" name="Cedula" dataDxfId="4"/>
    <tableColumn id="7" xr3:uid="{899733A3-0838-4BC6-96DE-A11BB8C8EEC7}" name="Beneficiario / Titular" dataDxfId="3"/>
    <tableColumn id="8" xr3:uid="{A43E92D2-9C11-4D95-8CE6-4B85536A5C15}" name="Parentesco" dataDxfId="2"/>
    <tableColumn id="9" xr3:uid="{616F5DE5-AFEB-44C8-8F2B-2CA6D1844C47}" name="Estado Civil" dataDxfId="1"/>
    <tableColumn id="10" xr3:uid="{5EA00623-B0FF-473F-8261-03115634CC94}" name="Dirección de Habitación" dataDxfId="0"/>
    <tableColumn id="11" xr3:uid="{CAFB0510-D69E-416F-9FED-F58FE02F80E8}" name="Tel Movil"/>
    <tableColumn id="12" xr3:uid="{39BE43AE-AF58-4B43-983D-9FBC02B92FD8}" name="email"/>
    <tableColumn id="13" xr3:uid="{C3689C18-DD27-406F-BD5E-C1751BFB1BA4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tabSelected="1" workbookViewId="0">
      <selection activeCell="K57" sqref="K57"/>
    </sheetView>
  </sheetViews>
  <sheetFormatPr baseColWidth="10" defaultRowHeight="15" x14ac:dyDescent="0.25"/>
  <cols>
    <col min="1" max="2" width="23.140625" customWidth="1"/>
    <col min="3" max="3" width="9" customWidth="1"/>
    <col min="4" max="4" width="18" customWidth="1"/>
    <col min="5" max="5" width="8.28515625" customWidth="1"/>
    <col min="7" max="7" width="19" customWidth="1"/>
    <col min="8" max="9" width="11.85546875" customWidth="1"/>
    <col min="10" max="10" width="21.28515625" customWidth="1"/>
    <col min="13" max="13" width="12.140625" customWidth="1"/>
  </cols>
  <sheetData>
    <row r="1" spans="1:13" x14ac:dyDescent="0.25">
      <c r="A1" s="12" t="s">
        <v>0</v>
      </c>
      <c r="B1" s="12" t="s">
        <v>1</v>
      </c>
      <c r="C1" s="12" t="s">
        <v>54</v>
      </c>
      <c r="D1" s="13" t="s">
        <v>55</v>
      </c>
      <c r="E1" s="14" t="s">
        <v>56</v>
      </c>
      <c r="F1" s="14" t="s">
        <v>57</v>
      </c>
      <c r="G1" s="12" t="s">
        <v>58</v>
      </c>
      <c r="H1" s="14" t="s">
        <v>59</v>
      </c>
      <c r="I1" s="12" t="s">
        <v>60</v>
      </c>
      <c r="J1" s="12" t="s">
        <v>61</v>
      </c>
      <c r="K1" s="12" t="s">
        <v>237</v>
      </c>
      <c r="L1" s="12" t="s">
        <v>238</v>
      </c>
      <c r="M1" s="12" t="s">
        <v>239</v>
      </c>
    </row>
    <row r="2" spans="1:13" x14ac:dyDescent="0.25">
      <c r="A2" s="2" t="s">
        <v>2</v>
      </c>
      <c r="B2" s="2" t="s">
        <v>3</v>
      </c>
      <c r="C2" s="2" t="s">
        <v>62</v>
      </c>
      <c r="D2" s="3">
        <v>20776</v>
      </c>
      <c r="E2" s="2">
        <v>68</v>
      </c>
      <c r="F2" s="2">
        <v>4470378</v>
      </c>
      <c r="G2" s="2" t="s">
        <v>63</v>
      </c>
      <c r="H2" t="s">
        <v>63</v>
      </c>
      <c r="I2" s="2" t="s">
        <v>64</v>
      </c>
      <c r="J2" s="2" t="s">
        <v>65</v>
      </c>
    </row>
    <row r="3" spans="1:13" x14ac:dyDescent="0.25">
      <c r="A3" s="2" t="s">
        <v>4</v>
      </c>
      <c r="B3" s="2" t="s">
        <v>5</v>
      </c>
      <c r="C3" s="2" t="s">
        <v>66</v>
      </c>
      <c r="D3" s="3">
        <v>29697</v>
      </c>
      <c r="E3" s="2">
        <v>43</v>
      </c>
      <c r="F3" s="2">
        <v>14447570</v>
      </c>
      <c r="G3" s="2" t="s">
        <v>63</v>
      </c>
      <c r="H3" t="s">
        <v>63</v>
      </c>
      <c r="I3" s="2" t="s">
        <v>67</v>
      </c>
      <c r="J3" s="2" t="s">
        <v>68</v>
      </c>
    </row>
    <row r="4" spans="1:13" x14ac:dyDescent="0.25">
      <c r="A4" s="4" t="s">
        <v>69</v>
      </c>
      <c r="B4" s="4" t="s">
        <v>70</v>
      </c>
      <c r="C4" s="4" t="s">
        <v>62</v>
      </c>
      <c r="D4" s="5">
        <v>29100</v>
      </c>
      <c r="E4" s="4">
        <v>45</v>
      </c>
      <c r="F4" s="4">
        <v>13929183</v>
      </c>
      <c r="G4" s="1" t="s">
        <v>240</v>
      </c>
      <c r="H4" t="s">
        <v>241</v>
      </c>
      <c r="I4" s="4" t="s">
        <v>67</v>
      </c>
      <c r="J4" s="4" t="s">
        <v>68</v>
      </c>
    </row>
    <row r="5" spans="1:13" x14ac:dyDescent="0.25">
      <c r="A5" s="4" t="s">
        <v>71</v>
      </c>
      <c r="B5" s="4" t="s">
        <v>72</v>
      </c>
      <c r="C5" s="4" t="s">
        <v>62</v>
      </c>
      <c r="D5" s="5">
        <v>37800</v>
      </c>
      <c r="E5" s="1">
        <v>21</v>
      </c>
      <c r="F5" s="4">
        <v>29970871</v>
      </c>
      <c r="G5" s="1" t="s">
        <v>240</v>
      </c>
      <c r="H5" t="s">
        <v>73</v>
      </c>
      <c r="I5" s="4" t="s">
        <v>64</v>
      </c>
      <c r="J5" s="4" t="s">
        <v>68</v>
      </c>
    </row>
    <row r="6" spans="1:13" x14ac:dyDescent="0.25">
      <c r="A6" s="4" t="s">
        <v>71</v>
      </c>
      <c r="B6" s="4" t="s">
        <v>74</v>
      </c>
      <c r="C6" s="4" t="s">
        <v>66</v>
      </c>
      <c r="D6" s="5">
        <v>40094</v>
      </c>
      <c r="E6" s="1">
        <v>15</v>
      </c>
      <c r="F6" s="4">
        <v>34829059</v>
      </c>
      <c r="G6" s="1" t="s">
        <v>240</v>
      </c>
      <c r="H6" t="s">
        <v>75</v>
      </c>
      <c r="I6" s="4" t="s">
        <v>64</v>
      </c>
      <c r="J6" s="4" t="s">
        <v>68</v>
      </c>
    </row>
    <row r="7" spans="1:13" x14ac:dyDescent="0.25">
      <c r="A7" s="2" t="s">
        <v>6</v>
      </c>
      <c r="B7" s="2" t="s">
        <v>7</v>
      </c>
      <c r="C7" s="2" t="s">
        <v>66</v>
      </c>
      <c r="D7" s="3">
        <v>26093</v>
      </c>
      <c r="E7" s="2">
        <f>2024-1971</f>
        <v>53</v>
      </c>
      <c r="F7" s="2">
        <v>8712572</v>
      </c>
      <c r="G7" s="2" t="s">
        <v>63</v>
      </c>
      <c r="H7" t="s">
        <v>63</v>
      </c>
      <c r="I7" s="2" t="s">
        <v>67</v>
      </c>
      <c r="J7" s="2" t="s">
        <v>68</v>
      </c>
    </row>
    <row r="8" spans="1:13" x14ac:dyDescent="0.25">
      <c r="A8" s="4" t="s">
        <v>76</v>
      </c>
      <c r="B8" s="4" t="s">
        <v>77</v>
      </c>
      <c r="C8" s="4" t="s">
        <v>66</v>
      </c>
      <c r="D8" s="5">
        <v>16927</v>
      </c>
      <c r="E8" s="1">
        <f>2024-1946</f>
        <v>78</v>
      </c>
      <c r="F8" s="4">
        <v>3297238</v>
      </c>
      <c r="G8" s="1" t="s">
        <v>240</v>
      </c>
      <c r="H8" t="s">
        <v>78</v>
      </c>
      <c r="I8" s="4" t="s">
        <v>79</v>
      </c>
      <c r="J8" s="4" t="s">
        <v>68</v>
      </c>
    </row>
    <row r="9" spans="1:13" x14ac:dyDescent="0.25">
      <c r="A9" s="2" t="s">
        <v>8</v>
      </c>
      <c r="B9" s="2" t="s">
        <v>9</v>
      </c>
      <c r="C9" s="2" t="s">
        <v>62</v>
      </c>
      <c r="D9" s="3">
        <v>22703</v>
      </c>
      <c r="E9" s="2">
        <f>2024-1962</f>
        <v>62</v>
      </c>
      <c r="F9" s="2">
        <v>6534691</v>
      </c>
      <c r="G9" s="2" t="s">
        <v>63</v>
      </c>
      <c r="H9" t="s">
        <v>63</v>
      </c>
      <c r="I9" s="2" t="s">
        <v>67</v>
      </c>
      <c r="J9" s="2" t="s">
        <v>65</v>
      </c>
    </row>
    <row r="10" spans="1:13" x14ac:dyDescent="0.25">
      <c r="A10" s="4" t="s">
        <v>80</v>
      </c>
      <c r="B10" s="4" t="s">
        <v>81</v>
      </c>
      <c r="C10" s="4" t="s">
        <v>66</v>
      </c>
      <c r="D10" s="5">
        <v>22750</v>
      </c>
      <c r="E10" s="1">
        <f>2024-1962</f>
        <v>62</v>
      </c>
      <c r="F10" s="4">
        <v>8553843</v>
      </c>
      <c r="G10" s="1" t="s">
        <v>240</v>
      </c>
      <c r="H10" t="s">
        <v>242</v>
      </c>
      <c r="I10" s="4" t="s">
        <v>67</v>
      </c>
      <c r="J10" s="4" t="s">
        <v>65</v>
      </c>
    </row>
    <row r="11" spans="1:13" x14ac:dyDescent="0.25">
      <c r="A11" s="4" t="s">
        <v>82</v>
      </c>
      <c r="B11" s="4" t="s">
        <v>83</v>
      </c>
      <c r="C11" s="4" t="s">
        <v>66</v>
      </c>
      <c r="D11" s="5">
        <v>40277</v>
      </c>
      <c r="E11" s="1">
        <f>2024-2010</f>
        <v>14</v>
      </c>
      <c r="F11" s="4">
        <v>34074585</v>
      </c>
      <c r="G11" s="1" t="s">
        <v>240</v>
      </c>
      <c r="H11" t="s">
        <v>75</v>
      </c>
      <c r="I11" s="4" t="s">
        <v>64</v>
      </c>
      <c r="J11" s="4" t="s">
        <v>65</v>
      </c>
    </row>
    <row r="12" spans="1:13" x14ac:dyDescent="0.25">
      <c r="A12" s="4" t="s">
        <v>82</v>
      </c>
      <c r="B12" s="4" t="s">
        <v>84</v>
      </c>
      <c r="C12" s="4" t="s">
        <v>62</v>
      </c>
      <c r="D12" s="5">
        <v>42956</v>
      </c>
      <c r="E12" s="1">
        <f>2024-2017</f>
        <v>7</v>
      </c>
      <c r="F12" s="4" t="s">
        <v>85</v>
      </c>
      <c r="G12" s="1" t="s">
        <v>240</v>
      </c>
      <c r="H12" t="s">
        <v>73</v>
      </c>
      <c r="I12" s="4" t="s">
        <v>64</v>
      </c>
      <c r="J12" s="4" t="s">
        <v>65</v>
      </c>
    </row>
    <row r="13" spans="1:13" x14ac:dyDescent="0.25">
      <c r="A13" s="2" t="s">
        <v>10</v>
      </c>
      <c r="B13" s="2" t="s">
        <v>11</v>
      </c>
      <c r="C13" s="2" t="s">
        <v>62</v>
      </c>
      <c r="D13" s="3">
        <v>32400</v>
      </c>
      <c r="E13" s="2">
        <v>36</v>
      </c>
      <c r="F13" s="2">
        <v>19046556</v>
      </c>
      <c r="G13" s="2" t="s">
        <v>63</v>
      </c>
      <c r="H13" t="s">
        <v>63</v>
      </c>
      <c r="I13" s="2" t="s">
        <v>64</v>
      </c>
      <c r="J13" s="2" t="s">
        <v>65</v>
      </c>
    </row>
    <row r="14" spans="1:13" x14ac:dyDescent="0.25">
      <c r="A14" s="6" t="s">
        <v>2</v>
      </c>
      <c r="B14" s="6" t="s">
        <v>86</v>
      </c>
      <c r="C14" s="1" t="s">
        <v>66</v>
      </c>
      <c r="D14" s="7">
        <v>20290</v>
      </c>
      <c r="E14" s="1">
        <f>2024-1955</f>
        <v>69</v>
      </c>
      <c r="F14" s="1">
        <v>4468383</v>
      </c>
      <c r="G14" s="1" t="s">
        <v>240</v>
      </c>
      <c r="H14" t="s">
        <v>78</v>
      </c>
      <c r="I14" s="1" t="s">
        <v>64</v>
      </c>
      <c r="J14" s="1" t="s">
        <v>65</v>
      </c>
    </row>
    <row r="15" spans="1:13" x14ac:dyDescent="0.25">
      <c r="A15" s="2" t="s">
        <v>12</v>
      </c>
      <c r="B15" s="2" t="s">
        <v>13</v>
      </c>
      <c r="C15" s="2" t="s">
        <v>66</v>
      </c>
      <c r="D15" s="3">
        <v>26840</v>
      </c>
      <c r="E15" s="2">
        <f>2024-1973</f>
        <v>51</v>
      </c>
      <c r="F15" s="2">
        <v>11956781</v>
      </c>
      <c r="G15" s="2" t="s">
        <v>63</v>
      </c>
      <c r="H15" t="s">
        <v>63</v>
      </c>
      <c r="I15" s="2" t="s">
        <v>67</v>
      </c>
      <c r="J15" s="2" t="s">
        <v>65</v>
      </c>
    </row>
    <row r="16" spans="1:13" x14ac:dyDescent="0.25">
      <c r="A16" s="6" t="s">
        <v>87</v>
      </c>
      <c r="B16" s="6" t="s">
        <v>88</v>
      </c>
      <c r="C16" s="1" t="s">
        <v>62</v>
      </c>
      <c r="D16" s="7">
        <v>29830</v>
      </c>
      <c r="E16" s="1">
        <f>2024-1981</f>
        <v>43</v>
      </c>
      <c r="F16" s="1">
        <v>15756224</v>
      </c>
      <c r="G16" s="1" t="s">
        <v>240</v>
      </c>
      <c r="H16" t="s">
        <v>241</v>
      </c>
      <c r="I16" s="1" t="s">
        <v>67</v>
      </c>
      <c r="J16" s="1" t="s">
        <v>65</v>
      </c>
    </row>
    <row r="17" spans="1:10" x14ac:dyDescent="0.25">
      <c r="A17" s="6" t="s">
        <v>89</v>
      </c>
      <c r="B17" s="6" t="s">
        <v>90</v>
      </c>
      <c r="C17" s="1" t="s">
        <v>66</v>
      </c>
      <c r="D17" s="7">
        <v>19752</v>
      </c>
      <c r="E17" s="1">
        <f>2025-1954</f>
        <v>71</v>
      </c>
      <c r="F17" s="1">
        <v>4487540</v>
      </c>
      <c r="G17" s="1" t="s">
        <v>240</v>
      </c>
      <c r="H17" t="s">
        <v>78</v>
      </c>
      <c r="I17" s="1" t="s">
        <v>79</v>
      </c>
      <c r="J17" s="1" t="s">
        <v>65</v>
      </c>
    </row>
    <row r="18" spans="1:10" x14ac:dyDescent="0.25">
      <c r="A18" s="6" t="s">
        <v>91</v>
      </c>
      <c r="B18" s="6" t="s">
        <v>92</v>
      </c>
      <c r="C18" s="1" t="s">
        <v>66</v>
      </c>
      <c r="D18" s="7">
        <v>43397</v>
      </c>
      <c r="E18" s="1">
        <f>2024-2018</f>
        <v>6</v>
      </c>
      <c r="F18" s="1" t="s">
        <v>93</v>
      </c>
      <c r="G18" s="1" t="s">
        <v>240</v>
      </c>
      <c r="H18" t="s">
        <v>94</v>
      </c>
      <c r="I18" s="1" t="s">
        <v>64</v>
      </c>
      <c r="J18" s="1" t="s">
        <v>65</v>
      </c>
    </row>
    <row r="19" spans="1:10" x14ac:dyDescent="0.25">
      <c r="A19" s="6" t="s">
        <v>91</v>
      </c>
      <c r="B19" s="6" t="s">
        <v>95</v>
      </c>
      <c r="C19" s="1" t="s">
        <v>62</v>
      </c>
      <c r="D19" s="7">
        <v>42412</v>
      </c>
      <c r="E19" s="1">
        <f>2024-2016</f>
        <v>8</v>
      </c>
      <c r="F19" s="1" t="s">
        <v>96</v>
      </c>
      <c r="G19" s="1" t="s">
        <v>240</v>
      </c>
      <c r="H19" t="s">
        <v>97</v>
      </c>
      <c r="I19" s="1" t="s">
        <v>64</v>
      </c>
      <c r="J19" s="1" t="s">
        <v>65</v>
      </c>
    </row>
    <row r="20" spans="1:10" x14ac:dyDescent="0.25">
      <c r="A20" s="2" t="s">
        <v>14</v>
      </c>
      <c r="B20" s="2" t="s">
        <v>15</v>
      </c>
      <c r="C20" s="2" t="s">
        <v>66</v>
      </c>
      <c r="D20" s="3">
        <v>26434</v>
      </c>
      <c r="E20" s="2">
        <f>2024-1972</f>
        <v>52</v>
      </c>
      <c r="F20" s="2">
        <v>11465358</v>
      </c>
      <c r="G20" s="2" t="s">
        <v>63</v>
      </c>
      <c r="H20" t="s">
        <v>63</v>
      </c>
      <c r="I20" s="2" t="s">
        <v>64</v>
      </c>
      <c r="J20" s="2" t="s">
        <v>65</v>
      </c>
    </row>
    <row r="21" spans="1:10" x14ac:dyDescent="0.25">
      <c r="A21" s="6" t="s">
        <v>14</v>
      </c>
      <c r="B21" s="6" t="s">
        <v>98</v>
      </c>
      <c r="C21" s="1" t="s">
        <v>66</v>
      </c>
      <c r="D21" s="7">
        <v>20037</v>
      </c>
      <c r="E21" s="1">
        <f>2024-1954</f>
        <v>70</v>
      </c>
      <c r="F21" s="1">
        <v>5200113</v>
      </c>
      <c r="G21" s="1" t="s">
        <v>240</v>
      </c>
      <c r="H21" t="s">
        <v>78</v>
      </c>
      <c r="I21" s="1" t="s">
        <v>64</v>
      </c>
      <c r="J21" s="1" t="s">
        <v>65</v>
      </c>
    </row>
    <row r="22" spans="1:10" x14ac:dyDescent="0.25">
      <c r="A22" s="6" t="s">
        <v>99</v>
      </c>
      <c r="B22" s="6" t="s">
        <v>100</v>
      </c>
      <c r="C22" s="1" t="s">
        <v>62</v>
      </c>
      <c r="D22" s="7">
        <v>18185</v>
      </c>
      <c r="E22" s="1">
        <f>2024-1949</f>
        <v>75</v>
      </c>
      <c r="F22" s="1">
        <v>3496367</v>
      </c>
      <c r="G22" s="1" t="s">
        <v>240</v>
      </c>
      <c r="H22" t="s">
        <v>101</v>
      </c>
      <c r="I22" s="1" t="s">
        <v>64</v>
      </c>
      <c r="J22" s="1" t="s">
        <v>65</v>
      </c>
    </row>
    <row r="23" spans="1:10" x14ac:dyDescent="0.25">
      <c r="A23" s="6" t="s">
        <v>102</v>
      </c>
      <c r="B23" s="6" t="s">
        <v>103</v>
      </c>
      <c r="C23" s="1" t="s">
        <v>66</v>
      </c>
      <c r="D23" s="7">
        <v>43171</v>
      </c>
      <c r="E23" s="1">
        <f>2024-2018</f>
        <v>6</v>
      </c>
      <c r="F23" s="1" t="s">
        <v>104</v>
      </c>
      <c r="G23" s="1" t="s">
        <v>240</v>
      </c>
      <c r="H23" t="s">
        <v>94</v>
      </c>
      <c r="I23" s="1" t="s">
        <v>64</v>
      </c>
      <c r="J23" s="1" t="s">
        <v>65</v>
      </c>
    </row>
    <row r="24" spans="1:10" x14ac:dyDescent="0.25">
      <c r="A24" s="6" t="s">
        <v>105</v>
      </c>
      <c r="B24" s="6" t="s">
        <v>106</v>
      </c>
      <c r="C24" s="1" t="s">
        <v>66</v>
      </c>
      <c r="D24" s="7">
        <v>43398</v>
      </c>
      <c r="E24" s="1">
        <f>2024-2018</f>
        <v>6</v>
      </c>
      <c r="F24" s="1" t="s">
        <v>107</v>
      </c>
      <c r="G24" s="1" t="s">
        <v>240</v>
      </c>
      <c r="H24" t="s">
        <v>94</v>
      </c>
      <c r="I24" s="1" t="s">
        <v>64</v>
      </c>
      <c r="J24" s="1" t="s">
        <v>65</v>
      </c>
    </row>
    <row r="25" spans="1:10" x14ac:dyDescent="0.25">
      <c r="A25" s="2" t="s">
        <v>16</v>
      </c>
      <c r="B25" s="2" t="s">
        <v>17</v>
      </c>
      <c r="C25" s="2" t="s">
        <v>62</v>
      </c>
      <c r="D25" s="3">
        <v>23375</v>
      </c>
      <c r="E25" s="2">
        <f>2024-1963</f>
        <v>61</v>
      </c>
      <c r="F25" s="2">
        <v>8025028</v>
      </c>
      <c r="G25" s="2" t="s">
        <v>63</v>
      </c>
      <c r="H25" t="s">
        <v>63</v>
      </c>
      <c r="I25" s="2" t="s">
        <v>67</v>
      </c>
      <c r="J25" s="2" t="s">
        <v>65</v>
      </c>
    </row>
    <row r="26" spans="1:10" x14ac:dyDescent="0.25">
      <c r="A26" s="6" t="s">
        <v>108</v>
      </c>
      <c r="B26" s="6" t="s">
        <v>109</v>
      </c>
      <c r="C26" s="1" t="s">
        <v>66</v>
      </c>
      <c r="D26" s="7">
        <v>23762</v>
      </c>
      <c r="E26" s="1">
        <f>2025-1965</f>
        <v>60</v>
      </c>
      <c r="F26" s="1">
        <v>8040079</v>
      </c>
      <c r="G26" s="1" t="s">
        <v>240</v>
      </c>
      <c r="H26" t="s">
        <v>242</v>
      </c>
      <c r="I26" s="1" t="s">
        <v>67</v>
      </c>
      <c r="J26" s="1" t="s">
        <v>65</v>
      </c>
    </row>
    <row r="27" spans="1:10" x14ac:dyDescent="0.25">
      <c r="A27" s="6" t="s">
        <v>110</v>
      </c>
      <c r="B27" s="6" t="s">
        <v>111</v>
      </c>
      <c r="C27" s="1" t="s">
        <v>62</v>
      </c>
      <c r="D27" s="7">
        <v>38187</v>
      </c>
      <c r="E27" s="1">
        <f>2024-2004</f>
        <v>20</v>
      </c>
      <c r="F27" s="1">
        <v>30884828</v>
      </c>
      <c r="G27" s="1" t="s">
        <v>240</v>
      </c>
      <c r="H27" t="s">
        <v>73</v>
      </c>
      <c r="I27" s="1" t="s">
        <v>64</v>
      </c>
      <c r="J27" s="1" t="s">
        <v>65</v>
      </c>
    </row>
    <row r="28" spans="1:10" x14ac:dyDescent="0.25">
      <c r="A28" s="6" t="s">
        <v>112</v>
      </c>
      <c r="B28" s="6" t="s">
        <v>113</v>
      </c>
      <c r="C28" s="1" t="s">
        <v>62</v>
      </c>
      <c r="D28" s="7">
        <v>38842</v>
      </c>
      <c r="E28" s="1">
        <f>2025-2006</f>
        <v>19</v>
      </c>
      <c r="F28" s="1">
        <v>31440127</v>
      </c>
      <c r="G28" s="1" t="s">
        <v>240</v>
      </c>
      <c r="H28" t="s">
        <v>97</v>
      </c>
      <c r="I28" s="1" t="s">
        <v>64</v>
      </c>
      <c r="J28" s="1" t="s">
        <v>65</v>
      </c>
    </row>
    <row r="29" spans="1:10" x14ac:dyDescent="0.25">
      <c r="A29" s="6" t="s">
        <v>112</v>
      </c>
      <c r="B29" s="6" t="s">
        <v>114</v>
      </c>
      <c r="C29" s="1" t="s">
        <v>62</v>
      </c>
      <c r="D29" s="7">
        <v>44272</v>
      </c>
      <c r="E29" s="1">
        <f>2024-2021</f>
        <v>3</v>
      </c>
      <c r="F29" s="1" t="s">
        <v>115</v>
      </c>
      <c r="G29" s="1" t="s">
        <v>240</v>
      </c>
      <c r="H29" t="s">
        <v>97</v>
      </c>
      <c r="I29" s="1" t="s">
        <v>64</v>
      </c>
      <c r="J29" s="1" t="s">
        <v>65</v>
      </c>
    </row>
    <row r="30" spans="1:10" x14ac:dyDescent="0.25">
      <c r="A30" s="2" t="s">
        <v>18</v>
      </c>
      <c r="B30" s="2" t="s">
        <v>19</v>
      </c>
      <c r="C30" s="2" t="s">
        <v>66</v>
      </c>
      <c r="D30" s="3">
        <v>32915</v>
      </c>
      <c r="E30" s="2">
        <f>2025-1990</f>
        <v>35</v>
      </c>
      <c r="F30" s="2">
        <v>19048193</v>
      </c>
      <c r="G30" s="2" t="s">
        <v>63</v>
      </c>
      <c r="H30" t="s">
        <v>63</v>
      </c>
      <c r="I30" s="2" t="s">
        <v>67</v>
      </c>
      <c r="J30" s="2" t="s">
        <v>65</v>
      </c>
    </row>
    <row r="31" spans="1:10" x14ac:dyDescent="0.25">
      <c r="A31" s="6" t="s">
        <v>116</v>
      </c>
      <c r="B31" s="6" t="s">
        <v>117</v>
      </c>
      <c r="C31" s="1" t="s">
        <v>62</v>
      </c>
      <c r="D31" s="7">
        <v>33131</v>
      </c>
      <c r="E31" s="1">
        <f>2024-1990</f>
        <v>34</v>
      </c>
      <c r="F31" s="1">
        <v>19145719</v>
      </c>
      <c r="G31" s="1" t="s">
        <v>240</v>
      </c>
      <c r="H31" t="s">
        <v>241</v>
      </c>
      <c r="I31" s="1" t="s">
        <v>67</v>
      </c>
      <c r="J31" s="1" t="s">
        <v>65</v>
      </c>
    </row>
    <row r="32" spans="1:10" x14ac:dyDescent="0.25">
      <c r="A32" s="6" t="s">
        <v>118</v>
      </c>
      <c r="B32" s="6" t="s">
        <v>119</v>
      </c>
      <c r="C32" s="1" t="s">
        <v>66</v>
      </c>
      <c r="D32" s="7">
        <v>42017</v>
      </c>
      <c r="E32" s="1">
        <f>2025-2015</f>
        <v>10</v>
      </c>
      <c r="F32" s="1" t="s">
        <v>120</v>
      </c>
      <c r="G32" s="1" t="s">
        <v>240</v>
      </c>
      <c r="H32" t="s">
        <v>75</v>
      </c>
      <c r="I32" s="1" t="s">
        <v>64</v>
      </c>
      <c r="J32" s="1" t="s">
        <v>65</v>
      </c>
    </row>
    <row r="33" spans="1:10" x14ac:dyDescent="0.25">
      <c r="A33" s="6" t="s">
        <v>118</v>
      </c>
      <c r="B33" s="6" t="s">
        <v>121</v>
      </c>
      <c r="C33" s="1" t="s">
        <v>66</v>
      </c>
      <c r="D33" s="7">
        <v>40338</v>
      </c>
      <c r="E33" s="1">
        <f>2024-2010</f>
        <v>14</v>
      </c>
      <c r="F33" s="1">
        <v>33525342</v>
      </c>
      <c r="G33" s="1" t="s">
        <v>240</v>
      </c>
      <c r="H33" t="s">
        <v>75</v>
      </c>
      <c r="I33" s="1" t="s">
        <v>64</v>
      </c>
      <c r="J33" s="1" t="s">
        <v>65</v>
      </c>
    </row>
    <row r="34" spans="1:10" x14ac:dyDescent="0.25">
      <c r="A34" s="6" t="s">
        <v>122</v>
      </c>
      <c r="B34" s="6" t="s">
        <v>123</v>
      </c>
      <c r="C34" s="1" t="s">
        <v>66</v>
      </c>
      <c r="D34" s="7">
        <v>25470</v>
      </c>
      <c r="E34" s="1">
        <f>2024-1969</f>
        <v>55</v>
      </c>
      <c r="F34" s="1">
        <v>10252354</v>
      </c>
      <c r="G34" s="1" t="s">
        <v>240</v>
      </c>
      <c r="H34" t="s">
        <v>78</v>
      </c>
      <c r="I34" s="1" t="s">
        <v>67</v>
      </c>
      <c r="J34" s="1" t="s">
        <v>65</v>
      </c>
    </row>
    <row r="35" spans="1:10" x14ac:dyDescent="0.25">
      <c r="A35" s="6" t="s">
        <v>124</v>
      </c>
      <c r="B35" s="6" t="s">
        <v>125</v>
      </c>
      <c r="C35" s="1" t="s">
        <v>62</v>
      </c>
      <c r="D35" s="7">
        <v>24506</v>
      </c>
      <c r="E35" s="1">
        <f>2025-1967</f>
        <v>58</v>
      </c>
      <c r="F35" s="1">
        <v>10715058</v>
      </c>
      <c r="G35" s="1" t="s">
        <v>240</v>
      </c>
      <c r="H35" t="s">
        <v>101</v>
      </c>
      <c r="I35" s="1" t="s">
        <v>67</v>
      </c>
      <c r="J35" s="1" t="s">
        <v>65</v>
      </c>
    </row>
    <row r="36" spans="1:10" x14ac:dyDescent="0.25">
      <c r="A36" s="2" t="s">
        <v>20</v>
      </c>
      <c r="B36" s="2" t="s">
        <v>21</v>
      </c>
      <c r="C36" s="2" t="s">
        <v>66</v>
      </c>
      <c r="D36" s="3">
        <v>24711</v>
      </c>
      <c r="E36" s="2">
        <f>2024-1967</f>
        <v>57</v>
      </c>
      <c r="F36" s="2">
        <v>9470977</v>
      </c>
      <c r="G36" s="2" t="s">
        <v>63</v>
      </c>
      <c r="H36" t="s">
        <v>63</v>
      </c>
      <c r="I36" s="2" t="s">
        <v>67</v>
      </c>
      <c r="J36" s="2" t="s">
        <v>65</v>
      </c>
    </row>
    <row r="37" spans="1:10" x14ac:dyDescent="0.25">
      <c r="A37" s="6" t="s">
        <v>126</v>
      </c>
      <c r="B37" s="6" t="s">
        <v>127</v>
      </c>
      <c r="C37" s="1" t="s">
        <v>62</v>
      </c>
      <c r="D37" s="7">
        <v>26180</v>
      </c>
      <c r="E37" s="1">
        <f>2024-1971</f>
        <v>53</v>
      </c>
      <c r="F37" s="1">
        <v>81480928</v>
      </c>
      <c r="G37" s="1" t="s">
        <v>240</v>
      </c>
      <c r="H37" t="s">
        <v>241</v>
      </c>
      <c r="I37" s="1" t="s">
        <v>67</v>
      </c>
      <c r="J37" s="1" t="s">
        <v>65</v>
      </c>
    </row>
    <row r="38" spans="1:10" x14ac:dyDescent="0.25">
      <c r="A38" s="6" t="s">
        <v>128</v>
      </c>
      <c r="B38" s="6" t="s">
        <v>129</v>
      </c>
      <c r="C38" s="1" t="s">
        <v>66</v>
      </c>
      <c r="D38" s="7">
        <v>37751</v>
      </c>
      <c r="E38" s="1">
        <f>2024-2003</f>
        <v>21</v>
      </c>
      <c r="F38" s="1">
        <v>29886441</v>
      </c>
      <c r="G38" s="1" t="s">
        <v>240</v>
      </c>
      <c r="H38" t="s">
        <v>75</v>
      </c>
      <c r="I38" s="1" t="s">
        <v>64</v>
      </c>
      <c r="J38" s="1" t="s">
        <v>65</v>
      </c>
    </row>
    <row r="39" spans="1:10" x14ac:dyDescent="0.25">
      <c r="A39" s="2" t="s">
        <v>22</v>
      </c>
      <c r="B39" s="2" t="s">
        <v>23</v>
      </c>
      <c r="C39" s="2" t="s">
        <v>62</v>
      </c>
      <c r="D39" s="3">
        <v>21122</v>
      </c>
      <c r="E39" s="2">
        <f>2024-1957</f>
        <v>67</v>
      </c>
      <c r="F39" s="2">
        <v>5317239</v>
      </c>
      <c r="G39" s="2" t="s">
        <v>63</v>
      </c>
      <c r="H39" t="s">
        <v>63</v>
      </c>
      <c r="I39" s="2" t="s">
        <v>67</v>
      </c>
      <c r="J39" s="2" t="s">
        <v>65</v>
      </c>
    </row>
    <row r="40" spans="1:10" x14ac:dyDescent="0.25">
      <c r="A40" s="6" t="s">
        <v>130</v>
      </c>
      <c r="B40" s="6" t="s">
        <v>131</v>
      </c>
      <c r="C40" s="1" t="s">
        <v>66</v>
      </c>
      <c r="D40" s="7">
        <v>26867</v>
      </c>
      <c r="E40" s="1">
        <f>2024-1973</f>
        <v>51</v>
      </c>
      <c r="F40" s="1">
        <v>11710404</v>
      </c>
      <c r="G40" s="1" t="s">
        <v>240</v>
      </c>
      <c r="H40" t="s">
        <v>242</v>
      </c>
      <c r="I40" s="1" t="s">
        <v>67</v>
      </c>
      <c r="J40" s="1" t="s">
        <v>65</v>
      </c>
    </row>
    <row r="41" spans="1:10" x14ac:dyDescent="0.25">
      <c r="A41" s="2" t="s">
        <v>24</v>
      </c>
      <c r="B41" s="2" t="s">
        <v>25</v>
      </c>
      <c r="C41" s="2" t="s">
        <v>66</v>
      </c>
      <c r="D41" s="3">
        <v>31260</v>
      </c>
      <c r="E41" s="2">
        <f>2024-1985</f>
        <v>39</v>
      </c>
      <c r="F41" s="8">
        <v>16743412</v>
      </c>
      <c r="G41" s="2" t="s">
        <v>63</v>
      </c>
      <c r="H41" t="s">
        <v>63</v>
      </c>
      <c r="I41" s="2" t="s">
        <v>67</v>
      </c>
      <c r="J41" s="2" t="s">
        <v>65</v>
      </c>
    </row>
    <row r="42" spans="1:10" x14ac:dyDescent="0.25">
      <c r="A42" s="6" t="s">
        <v>132</v>
      </c>
      <c r="B42" s="6" t="s">
        <v>133</v>
      </c>
      <c r="C42" s="1" t="s">
        <v>62</v>
      </c>
      <c r="D42" s="7">
        <v>28572</v>
      </c>
      <c r="E42" s="1">
        <f>2024-1978</f>
        <v>46</v>
      </c>
      <c r="F42" s="1">
        <v>13525704</v>
      </c>
      <c r="G42" s="1" t="s">
        <v>240</v>
      </c>
      <c r="H42" t="s">
        <v>241</v>
      </c>
      <c r="I42" s="1" t="s">
        <v>67</v>
      </c>
      <c r="J42" s="1" t="s">
        <v>65</v>
      </c>
    </row>
    <row r="43" spans="1:10" x14ac:dyDescent="0.25">
      <c r="A43" s="1" t="s">
        <v>134</v>
      </c>
      <c r="B43" s="1" t="s">
        <v>135</v>
      </c>
      <c r="C43" s="1" t="s">
        <v>66</v>
      </c>
      <c r="D43" s="7">
        <v>43263</v>
      </c>
      <c r="E43" s="1">
        <f>2024-2018</f>
        <v>6</v>
      </c>
      <c r="F43" s="1" t="s">
        <v>136</v>
      </c>
      <c r="G43" s="1" t="s">
        <v>240</v>
      </c>
      <c r="H43" t="s">
        <v>75</v>
      </c>
      <c r="I43" s="1" t="s">
        <v>64</v>
      </c>
      <c r="J43" s="1" t="s">
        <v>65</v>
      </c>
    </row>
    <row r="44" spans="1:10" x14ac:dyDescent="0.25">
      <c r="A44" s="1" t="s">
        <v>134</v>
      </c>
      <c r="B44" s="1" t="s">
        <v>137</v>
      </c>
      <c r="C44" s="1" t="s">
        <v>66</v>
      </c>
      <c r="D44" s="7">
        <v>42387</v>
      </c>
      <c r="E44" s="1">
        <f>2025-2016</f>
        <v>9</v>
      </c>
      <c r="F44" s="1" t="s">
        <v>138</v>
      </c>
      <c r="G44" s="1" t="s">
        <v>240</v>
      </c>
      <c r="H44" t="s">
        <v>75</v>
      </c>
      <c r="I44" s="1" t="s">
        <v>64</v>
      </c>
      <c r="J44" s="1" t="s">
        <v>65</v>
      </c>
    </row>
    <row r="45" spans="1:10" x14ac:dyDescent="0.25">
      <c r="A45" s="6" t="s">
        <v>139</v>
      </c>
      <c r="B45" s="6" t="s">
        <v>140</v>
      </c>
      <c r="C45" s="1" t="s">
        <v>62</v>
      </c>
      <c r="D45" s="7">
        <v>20550</v>
      </c>
      <c r="E45" s="1">
        <f>2024-1956</f>
        <v>68</v>
      </c>
      <c r="F45" s="1">
        <v>4468398</v>
      </c>
      <c r="G45" s="1" t="s">
        <v>240</v>
      </c>
      <c r="H45" t="s">
        <v>101</v>
      </c>
      <c r="I45" s="1" t="s">
        <v>67</v>
      </c>
      <c r="J45" s="1" t="s">
        <v>68</v>
      </c>
    </row>
    <row r="46" spans="1:10" x14ac:dyDescent="0.25">
      <c r="A46" s="6" t="s">
        <v>141</v>
      </c>
      <c r="B46" s="6" t="s">
        <v>142</v>
      </c>
      <c r="C46" s="1" t="s">
        <v>66</v>
      </c>
      <c r="D46" s="7">
        <v>21467</v>
      </c>
      <c r="E46" s="1">
        <f>2024-1958</f>
        <v>66</v>
      </c>
      <c r="F46" s="1">
        <v>5446367</v>
      </c>
      <c r="G46" s="1" t="s">
        <v>240</v>
      </c>
      <c r="H46" t="s">
        <v>78</v>
      </c>
      <c r="I46" s="1" t="s">
        <v>67</v>
      </c>
      <c r="J46" s="1" t="s">
        <v>68</v>
      </c>
    </row>
    <row r="47" spans="1:10" x14ac:dyDescent="0.25">
      <c r="A47" s="2" t="s">
        <v>26</v>
      </c>
      <c r="B47" s="2" t="s">
        <v>27</v>
      </c>
      <c r="C47" s="2" t="s">
        <v>62</v>
      </c>
      <c r="D47" s="3">
        <v>28874</v>
      </c>
      <c r="E47" s="2">
        <f>2025-1979</f>
        <v>46</v>
      </c>
      <c r="F47" s="2">
        <v>14401035</v>
      </c>
      <c r="G47" s="2" t="s">
        <v>63</v>
      </c>
      <c r="H47" t="s">
        <v>63</v>
      </c>
      <c r="I47" s="2" t="s">
        <v>64</v>
      </c>
      <c r="J47" s="2" t="s">
        <v>65</v>
      </c>
    </row>
    <row r="48" spans="1:10" x14ac:dyDescent="0.25">
      <c r="A48" s="2" t="s">
        <v>28</v>
      </c>
      <c r="B48" s="2" t="s">
        <v>29</v>
      </c>
      <c r="C48" s="2" t="s">
        <v>66</v>
      </c>
      <c r="D48" s="3">
        <v>33636</v>
      </c>
      <c r="E48" s="2">
        <f>2025-1992</f>
        <v>33</v>
      </c>
      <c r="F48" s="2">
        <v>19593741</v>
      </c>
      <c r="G48" s="2" t="s">
        <v>63</v>
      </c>
      <c r="H48" t="s">
        <v>63</v>
      </c>
      <c r="I48" s="2" t="s">
        <v>67</v>
      </c>
      <c r="J48" s="2" t="s">
        <v>65</v>
      </c>
    </row>
    <row r="49" spans="1:10" x14ac:dyDescent="0.25">
      <c r="A49" s="6" t="s">
        <v>143</v>
      </c>
      <c r="B49" s="6" t="s">
        <v>144</v>
      </c>
      <c r="C49" s="1" t="s">
        <v>62</v>
      </c>
      <c r="D49" s="7">
        <v>29487</v>
      </c>
      <c r="E49" s="1">
        <f>2024-1980</f>
        <v>44</v>
      </c>
      <c r="F49" s="1">
        <v>15175889</v>
      </c>
      <c r="G49" s="1" t="s">
        <v>240</v>
      </c>
      <c r="H49" t="s">
        <v>241</v>
      </c>
      <c r="I49" s="1" t="s">
        <v>67</v>
      </c>
      <c r="J49" s="1" t="s">
        <v>65</v>
      </c>
    </row>
    <row r="50" spans="1:10" x14ac:dyDescent="0.25">
      <c r="A50" s="6" t="s">
        <v>145</v>
      </c>
      <c r="B50" s="6" t="s">
        <v>146</v>
      </c>
      <c r="C50" s="1" t="s">
        <v>62</v>
      </c>
      <c r="D50" s="7">
        <v>43677</v>
      </c>
      <c r="E50" s="1">
        <f>2024-2019</f>
        <v>5</v>
      </c>
      <c r="F50" s="1" t="s">
        <v>147</v>
      </c>
      <c r="G50" s="1" t="s">
        <v>240</v>
      </c>
      <c r="H50" t="s">
        <v>73</v>
      </c>
      <c r="I50" s="1" t="s">
        <v>64</v>
      </c>
      <c r="J50" s="1" t="s">
        <v>65</v>
      </c>
    </row>
    <row r="51" spans="1:10" x14ac:dyDescent="0.25">
      <c r="A51" s="2" t="s">
        <v>30</v>
      </c>
      <c r="B51" s="2" t="s">
        <v>31</v>
      </c>
      <c r="C51" s="2" t="s">
        <v>66</v>
      </c>
      <c r="D51" s="3">
        <v>22575</v>
      </c>
      <c r="E51" s="2">
        <f>2024-1961</f>
        <v>63</v>
      </c>
      <c r="F51" s="2">
        <v>6363562</v>
      </c>
      <c r="G51" s="2" t="s">
        <v>63</v>
      </c>
      <c r="H51" t="s">
        <v>63</v>
      </c>
      <c r="I51" s="2" t="s">
        <v>64</v>
      </c>
      <c r="J51" s="2" t="s">
        <v>65</v>
      </c>
    </row>
    <row r="52" spans="1:10" x14ac:dyDescent="0.25">
      <c r="A52" s="6" t="s">
        <v>148</v>
      </c>
      <c r="B52" s="6" t="s">
        <v>149</v>
      </c>
      <c r="C52" s="1" t="s">
        <v>66</v>
      </c>
      <c r="D52" s="7">
        <v>37623</v>
      </c>
      <c r="E52" s="1">
        <f>2025-2003</f>
        <v>22</v>
      </c>
      <c r="F52" s="1">
        <v>29705022</v>
      </c>
      <c r="G52" s="1" t="s">
        <v>240</v>
      </c>
      <c r="H52" t="s">
        <v>94</v>
      </c>
      <c r="I52" s="1" t="s">
        <v>67</v>
      </c>
      <c r="J52" s="1" t="s">
        <v>65</v>
      </c>
    </row>
    <row r="53" spans="1:10" x14ac:dyDescent="0.25">
      <c r="A53" s="6" t="s">
        <v>150</v>
      </c>
      <c r="B53" s="6" t="s">
        <v>151</v>
      </c>
      <c r="C53" s="1" t="s">
        <v>62</v>
      </c>
      <c r="D53" s="7">
        <v>38979</v>
      </c>
      <c r="E53" s="1">
        <f>2024-2006</f>
        <v>18</v>
      </c>
      <c r="F53" s="1">
        <v>31697528</v>
      </c>
      <c r="G53" s="1" t="s">
        <v>240</v>
      </c>
      <c r="H53" t="s">
        <v>97</v>
      </c>
      <c r="I53" s="1" t="s">
        <v>64</v>
      </c>
      <c r="J53" s="1" t="s">
        <v>65</v>
      </c>
    </row>
    <row r="54" spans="1:10" x14ac:dyDescent="0.25">
      <c r="A54" s="6" t="s">
        <v>150</v>
      </c>
      <c r="B54" s="6" t="s">
        <v>152</v>
      </c>
      <c r="C54" s="1" t="s">
        <v>62</v>
      </c>
      <c r="D54" s="7">
        <v>43156</v>
      </c>
      <c r="E54" s="1">
        <f>2024-2018</f>
        <v>6</v>
      </c>
      <c r="F54" s="1" t="s">
        <v>153</v>
      </c>
      <c r="G54" s="1" t="s">
        <v>240</v>
      </c>
      <c r="H54" t="s">
        <v>97</v>
      </c>
      <c r="I54" s="1" t="s">
        <v>64</v>
      </c>
      <c r="J54" s="1" t="s">
        <v>65</v>
      </c>
    </row>
    <row r="55" spans="1:10" x14ac:dyDescent="0.25">
      <c r="A55" s="6" t="s">
        <v>154</v>
      </c>
      <c r="B55" s="6" t="s">
        <v>155</v>
      </c>
      <c r="C55" s="1" t="s">
        <v>62</v>
      </c>
      <c r="D55" s="7">
        <v>44057</v>
      </c>
      <c r="E55" s="1">
        <f>2024-2020</f>
        <v>4</v>
      </c>
      <c r="F55" s="1" t="s">
        <v>156</v>
      </c>
      <c r="G55" s="1" t="s">
        <v>240</v>
      </c>
      <c r="H55" t="s">
        <v>97</v>
      </c>
      <c r="I55" s="1" t="s">
        <v>64</v>
      </c>
      <c r="J55" s="1" t="s">
        <v>65</v>
      </c>
    </row>
    <row r="56" spans="1:10" x14ac:dyDescent="0.25">
      <c r="A56" s="2" t="s">
        <v>32</v>
      </c>
      <c r="B56" s="2" t="s">
        <v>33</v>
      </c>
      <c r="C56" s="2" t="s">
        <v>62</v>
      </c>
      <c r="D56" s="3">
        <v>27686</v>
      </c>
      <c r="E56" s="2">
        <f>2024-1975</f>
        <v>49</v>
      </c>
      <c r="F56" s="2">
        <v>13577131</v>
      </c>
      <c r="G56" s="2" t="s">
        <v>63</v>
      </c>
      <c r="H56" t="s">
        <v>63</v>
      </c>
      <c r="I56" s="2" t="s">
        <v>67</v>
      </c>
      <c r="J56" s="2" t="s">
        <v>65</v>
      </c>
    </row>
    <row r="57" spans="1:10" x14ac:dyDescent="0.25">
      <c r="A57" s="6" t="s">
        <v>157</v>
      </c>
      <c r="B57" s="6" t="s">
        <v>158</v>
      </c>
      <c r="C57" s="1" t="s">
        <v>66</v>
      </c>
      <c r="D57" s="7">
        <v>31473</v>
      </c>
      <c r="E57" s="1">
        <f>2024-1986</f>
        <v>38</v>
      </c>
      <c r="F57" s="1">
        <v>17522945</v>
      </c>
      <c r="G57" s="1" t="s">
        <v>240</v>
      </c>
      <c r="H57" t="s">
        <v>242</v>
      </c>
      <c r="I57" s="1" t="s">
        <v>67</v>
      </c>
      <c r="J57" s="1" t="s">
        <v>65</v>
      </c>
    </row>
    <row r="58" spans="1:10" x14ac:dyDescent="0.25">
      <c r="A58" s="6" t="s">
        <v>159</v>
      </c>
      <c r="B58" s="6" t="s">
        <v>160</v>
      </c>
      <c r="C58" s="1" t="s">
        <v>62</v>
      </c>
      <c r="D58" s="7">
        <v>37959</v>
      </c>
      <c r="E58" s="1">
        <f>2024-2003</f>
        <v>21</v>
      </c>
      <c r="F58" s="1">
        <v>30961027</v>
      </c>
      <c r="G58" s="1" t="s">
        <v>240</v>
      </c>
      <c r="H58" t="s">
        <v>73</v>
      </c>
      <c r="I58" s="1" t="s">
        <v>64</v>
      </c>
      <c r="J58" s="1" t="s">
        <v>65</v>
      </c>
    </row>
    <row r="59" spans="1:10" x14ac:dyDescent="0.25">
      <c r="A59" s="6" t="s">
        <v>159</v>
      </c>
      <c r="B59" s="6" t="s">
        <v>161</v>
      </c>
      <c r="C59" s="1" t="s">
        <v>62</v>
      </c>
      <c r="D59" s="7">
        <v>39346</v>
      </c>
      <c r="E59" s="1">
        <f>2024-2007</f>
        <v>17</v>
      </c>
      <c r="F59" s="1">
        <v>32297829</v>
      </c>
      <c r="G59" s="1" t="s">
        <v>240</v>
      </c>
      <c r="H59" t="s">
        <v>73</v>
      </c>
      <c r="I59" s="1" t="s">
        <v>64</v>
      </c>
      <c r="J59" s="1" t="s">
        <v>65</v>
      </c>
    </row>
    <row r="60" spans="1:10" x14ac:dyDescent="0.25">
      <c r="A60" s="6" t="s">
        <v>162</v>
      </c>
      <c r="B60" s="6" t="s">
        <v>163</v>
      </c>
      <c r="C60" s="1" t="s">
        <v>66</v>
      </c>
      <c r="D60" s="7">
        <v>40652</v>
      </c>
      <c r="E60" s="1">
        <f>2024-2011</f>
        <v>13</v>
      </c>
      <c r="F60" s="1">
        <v>34824617</v>
      </c>
      <c r="G60" s="1" t="s">
        <v>240</v>
      </c>
      <c r="H60" t="s">
        <v>75</v>
      </c>
      <c r="I60" s="1" t="s">
        <v>64</v>
      </c>
      <c r="J60" s="1" t="s">
        <v>65</v>
      </c>
    </row>
    <row r="61" spans="1:10" x14ac:dyDescent="0.25">
      <c r="A61" s="2" t="s">
        <v>34</v>
      </c>
      <c r="B61" s="2" t="s">
        <v>35</v>
      </c>
      <c r="C61" s="2" t="s">
        <v>66</v>
      </c>
      <c r="D61" s="3">
        <v>25996</v>
      </c>
      <c r="E61" s="2">
        <f>2024-1971</f>
        <v>53</v>
      </c>
      <c r="F61" s="9">
        <v>10106595</v>
      </c>
      <c r="G61" s="2" t="s">
        <v>63</v>
      </c>
      <c r="H61" t="s">
        <v>63</v>
      </c>
      <c r="I61" s="2" t="s">
        <v>64</v>
      </c>
      <c r="J61" s="2" t="s">
        <v>65</v>
      </c>
    </row>
    <row r="62" spans="1:10" x14ac:dyDescent="0.25">
      <c r="A62" s="6" t="s">
        <v>164</v>
      </c>
      <c r="B62" s="6" t="s">
        <v>165</v>
      </c>
      <c r="C62" s="1" t="s">
        <v>66</v>
      </c>
      <c r="D62" s="10">
        <v>37139</v>
      </c>
      <c r="E62" s="1">
        <f>2024-2001</f>
        <v>23</v>
      </c>
      <c r="F62" s="1">
        <v>27919876</v>
      </c>
      <c r="G62" s="1" t="s">
        <v>240</v>
      </c>
      <c r="H62" t="s">
        <v>75</v>
      </c>
      <c r="I62" s="1" t="s">
        <v>64</v>
      </c>
      <c r="J62" s="1" t="s">
        <v>65</v>
      </c>
    </row>
    <row r="63" spans="1:10" x14ac:dyDescent="0.25">
      <c r="A63" s="6" t="s">
        <v>166</v>
      </c>
      <c r="B63" s="6" t="s">
        <v>167</v>
      </c>
      <c r="C63" s="1" t="s">
        <v>66</v>
      </c>
      <c r="D63" s="10">
        <v>44674</v>
      </c>
      <c r="E63" s="1">
        <f>2024-2022</f>
        <v>2</v>
      </c>
      <c r="F63" s="1" t="s">
        <v>168</v>
      </c>
      <c r="G63" s="1" t="s">
        <v>240</v>
      </c>
      <c r="H63" t="s">
        <v>94</v>
      </c>
      <c r="I63" s="1" t="s">
        <v>64</v>
      </c>
      <c r="J63" s="1" t="s">
        <v>65</v>
      </c>
    </row>
    <row r="64" spans="1:10" x14ac:dyDescent="0.25">
      <c r="A64" s="6" t="s">
        <v>166</v>
      </c>
      <c r="B64" s="6" t="s">
        <v>169</v>
      </c>
      <c r="C64" s="1" t="s">
        <v>66</v>
      </c>
      <c r="D64" s="10">
        <v>44674</v>
      </c>
      <c r="E64" s="1">
        <f>2024-2022</f>
        <v>2</v>
      </c>
      <c r="F64" s="1" t="s">
        <v>170</v>
      </c>
      <c r="G64" s="1" t="s">
        <v>240</v>
      </c>
      <c r="H64" t="s">
        <v>94</v>
      </c>
      <c r="I64" s="1" t="s">
        <v>64</v>
      </c>
      <c r="J64" s="1" t="s">
        <v>65</v>
      </c>
    </row>
    <row r="65" spans="1:10" x14ac:dyDescent="0.25">
      <c r="A65" s="6" t="s">
        <v>171</v>
      </c>
      <c r="B65" s="6" t="s">
        <v>172</v>
      </c>
      <c r="C65" s="1" t="s">
        <v>62</v>
      </c>
      <c r="D65" s="10">
        <v>43730</v>
      </c>
      <c r="E65" s="1">
        <f>2024-2019</f>
        <v>5</v>
      </c>
      <c r="F65" s="1" t="s">
        <v>173</v>
      </c>
      <c r="G65" s="1" t="s">
        <v>240</v>
      </c>
      <c r="H65" t="s">
        <v>97</v>
      </c>
      <c r="I65" s="1" t="s">
        <v>64</v>
      </c>
      <c r="J65" s="1" t="s">
        <v>65</v>
      </c>
    </row>
    <row r="66" spans="1:10" x14ac:dyDescent="0.25">
      <c r="A66" s="6" t="s">
        <v>171</v>
      </c>
      <c r="B66" s="6" t="s">
        <v>174</v>
      </c>
      <c r="C66" s="1" t="s">
        <v>62</v>
      </c>
      <c r="D66" s="10">
        <v>44819</v>
      </c>
      <c r="E66" s="1">
        <f>2024-2022</f>
        <v>2</v>
      </c>
      <c r="F66" s="1" t="s">
        <v>175</v>
      </c>
      <c r="G66" s="1" t="s">
        <v>240</v>
      </c>
      <c r="H66" t="s">
        <v>97</v>
      </c>
      <c r="I66" s="1" t="s">
        <v>64</v>
      </c>
      <c r="J66" s="1" t="s">
        <v>65</v>
      </c>
    </row>
    <row r="67" spans="1:10" x14ac:dyDescent="0.25">
      <c r="A67" s="2" t="s">
        <v>36</v>
      </c>
      <c r="B67" s="2" t="s">
        <v>37</v>
      </c>
      <c r="C67" s="2" t="s">
        <v>66</v>
      </c>
      <c r="D67" s="3">
        <v>29959</v>
      </c>
      <c r="E67" s="2">
        <f>2025-1982</f>
        <v>43</v>
      </c>
      <c r="F67" s="2">
        <v>15923785</v>
      </c>
      <c r="G67" s="2" t="s">
        <v>63</v>
      </c>
      <c r="H67" t="s">
        <v>63</v>
      </c>
      <c r="I67" s="2" t="s">
        <v>64</v>
      </c>
      <c r="J67" s="2" t="s">
        <v>65</v>
      </c>
    </row>
    <row r="68" spans="1:10" x14ac:dyDescent="0.25">
      <c r="A68" s="6" t="s">
        <v>36</v>
      </c>
      <c r="B68" s="6" t="s">
        <v>176</v>
      </c>
      <c r="C68" s="1" t="s">
        <v>66</v>
      </c>
      <c r="D68" s="7">
        <v>43689</v>
      </c>
      <c r="E68" s="1">
        <f>2024-2019</f>
        <v>5</v>
      </c>
      <c r="F68" s="1" t="s">
        <v>177</v>
      </c>
      <c r="G68" s="1" t="s">
        <v>240</v>
      </c>
      <c r="H68" t="s">
        <v>75</v>
      </c>
      <c r="I68" s="1" t="s">
        <v>64</v>
      </c>
      <c r="J68" s="1" t="s">
        <v>65</v>
      </c>
    </row>
    <row r="69" spans="1:10" x14ac:dyDescent="0.25">
      <c r="A69" s="2" t="s">
        <v>38</v>
      </c>
      <c r="B69" s="2" t="s">
        <v>39</v>
      </c>
      <c r="C69" s="2" t="s">
        <v>62</v>
      </c>
      <c r="D69" s="3">
        <v>24189</v>
      </c>
      <c r="E69" s="2">
        <f>2024-1966</f>
        <v>58</v>
      </c>
      <c r="F69" s="2">
        <v>8044877</v>
      </c>
      <c r="G69" s="2" t="s">
        <v>63</v>
      </c>
      <c r="H69" t="s">
        <v>63</v>
      </c>
      <c r="I69" s="2" t="s">
        <v>67</v>
      </c>
      <c r="J69" s="2" t="s">
        <v>178</v>
      </c>
    </row>
    <row r="70" spans="1:10" x14ac:dyDescent="0.25">
      <c r="A70" s="6" t="s">
        <v>26</v>
      </c>
      <c r="B70" s="6" t="s">
        <v>179</v>
      </c>
      <c r="C70" s="1" t="s">
        <v>66</v>
      </c>
      <c r="D70" s="7">
        <v>28014</v>
      </c>
      <c r="E70" s="1">
        <f>2024-1976</f>
        <v>48</v>
      </c>
      <c r="F70" s="1">
        <v>13577262</v>
      </c>
      <c r="G70" s="1" t="s">
        <v>240</v>
      </c>
      <c r="H70" t="s">
        <v>242</v>
      </c>
      <c r="I70" s="1" t="s">
        <v>67</v>
      </c>
      <c r="J70" s="1" t="s">
        <v>178</v>
      </c>
    </row>
    <row r="71" spans="1:10" x14ac:dyDescent="0.25">
      <c r="A71" s="2" t="s">
        <v>24</v>
      </c>
      <c r="B71" s="2" t="s">
        <v>40</v>
      </c>
      <c r="C71" s="2" t="s">
        <v>66</v>
      </c>
      <c r="D71" s="3">
        <v>30526</v>
      </c>
      <c r="E71" s="2">
        <f>2024-1983</f>
        <v>41</v>
      </c>
      <c r="F71" s="2">
        <v>16305168</v>
      </c>
      <c r="G71" s="2" t="s">
        <v>63</v>
      </c>
      <c r="H71" t="s">
        <v>63</v>
      </c>
      <c r="I71" s="2" t="s">
        <v>67</v>
      </c>
      <c r="J71" s="2" t="s">
        <v>65</v>
      </c>
    </row>
    <row r="72" spans="1:10" x14ac:dyDescent="0.25">
      <c r="A72" s="6" t="s">
        <v>43</v>
      </c>
      <c r="B72" s="6" t="s">
        <v>180</v>
      </c>
      <c r="C72" s="1" t="s">
        <v>62</v>
      </c>
      <c r="D72" s="7">
        <v>30256</v>
      </c>
      <c r="E72" s="1">
        <f>2024-1982</f>
        <v>42</v>
      </c>
      <c r="F72" s="1">
        <v>15234780</v>
      </c>
      <c r="G72" s="1" t="s">
        <v>240</v>
      </c>
      <c r="H72" t="s">
        <v>241</v>
      </c>
      <c r="I72" s="1" t="s">
        <v>67</v>
      </c>
      <c r="J72" s="1" t="s">
        <v>65</v>
      </c>
    </row>
    <row r="73" spans="1:10" x14ac:dyDescent="0.25">
      <c r="A73" s="6" t="s">
        <v>181</v>
      </c>
      <c r="B73" s="6" t="s">
        <v>182</v>
      </c>
      <c r="C73" s="1" t="s">
        <v>62</v>
      </c>
      <c r="D73" s="10">
        <v>41428</v>
      </c>
      <c r="E73" s="1">
        <f>2024-2013</f>
        <v>11</v>
      </c>
      <c r="F73" s="1">
        <v>35019780</v>
      </c>
      <c r="G73" s="1" t="s">
        <v>240</v>
      </c>
      <c r="H73" t="s">
        <v>73</v>
      </c>
      <c r="I73" s="1" t="s">
        <v>64</v>
      </c>
      <c r="J73" s="1" t="s">
        <v>65</v>
      </c>
    </row>
    <row r="74" spans="1:10" x14ac:dyDescent="0.25">
      <c r="A74" s="6" t="s">
        <v>181</v>
      </c>
      <c r="B74" s="6" t="s">
        <v>183</v>
      </c>
      <c r="C74" s="1" t="s">
        <v>62</v>
      </c>
      <c r="D74" s="10">
        <v>42585</v>
      </c>
      <c r="E74" s="1">
        <f>2024-2016</f>
        <v>8</v>
      </c>
      <c r="F74" s="1" t="s">
        <v>184</v>
      </c>
      <c r="G74" s="1" t="s">
        <v>240</v>
      </c>
      <c r="H74" t="s">
        <v>73</v>
      </c>
      <c r="I74" s="1" t="s">
        <v>64</v>
      </c>
      <c r="J74" s="1" t="s">
        <v>65</v>
      </c>
    </row>
    <row r="75" spans="1:10" x14ac:dyDescent="0.25">
      <c r="A75" s="2" t="s">
        <v>41</v>
      </c>
      <c r="B75" s="2" t="s">
        <v>42</v>
      </c>
      <c r="C75" s="2" t="s">
        <v>62</v>
      </c>
      <c r="D75" s="3">
        <v>34832</v>
      </c>
      <c r="E75" s="2">
        <f>2024-1995</f>
        <v>29</v>
      </c>
      <c r="F75" s="2">
        <v>23724977</v>
      </c>
      <c r="G75" s="2" t="s">
        <v>63</v>
      </c>
      <c r="H75" t="s">
        <v>63</v>
      </c>
      <c r="I75" s="2" t="s">
        <v>67</v>
      </c>
      <c r="J75" s="2" t="s">
        <v>65</v>
      </c>
    </row>
    <row r="76" spans="1:10" x14ac:dyDescent="0.25">
      <c r="A76" s="6" t="s">
        <v>185</v>
      </c>
      <c r="B76" s="6" t="s">
        <v>186</v>
      </c>
      <c r="C76" s="1" t="s">
        <v>66</v>
      </c>
      <c r="D76" s="10">
        <v>36920</v>
      </c>
      <c r="E76" s="1">
        <f>2025-2001</f>
        <v>24</v>
      </c>
      <c r="F76" s="1">
        <v>28037205</v>
      </c>
      <c r="G76" s="1" t="s">
        <v>240</v>
      </c>
      <c r="H76" t="s">
        <v>242</v>
      </c>
      <c r="I76" s="1" t="s">
        <v>67</v>
      </c>
      <c r="J76" s="1" t="s">
        <v>65</v>
      </c>
    </row>
    <row r="77" spans="1:10" x14ac:dyDescent="0.25">
      <c r="A77" s="6" t="s">
        <v>187</v>
      </c>
      <c r="B77" s="6" t="s">
        <v>188</v>
      </c>
      <c r="C77" s="1" t="s">
        <v>66</v>
      </c>
      <c r="D77" s="7">
        <v>24109</v>
      </c>
      <c r="E77" s="1">
        <f>2025-1966</f>
        <v>59</v>
      </c>
      <c r="F77" s="1">
        <v>9477090</v>
      </c>
      <c r="G77" s="1" t="s">
        <v>240</v>
      </c>
      <c r="H77" t="s">
        <v>78</v>
      </c>
      <c r="I77" s="1" t="s">
        <v>64</v>
      </c>
      <c r="J77" s="1" t="s">
        <v>65</v>
      </c>
    </row>
    <row r="78" spans="1:10" x14ac:dyDescent="0.25">
      <c r="A78" s="6" t="s">
        <v>189</v>
      </c>
      <c r="B78" s="6" t="s">
        <v>190</v>
      </c>
      <c r="C78" s="1" t="s">
        <v>62</v>
      </c>
      <c r="D78" s="7">
        <v>23140</v>
      </c>
      <c r="E78" s="1">
        <f>2024-1963</f>
        <v>61</v>
      </c>
      <c r="F78" s="1">
        <v>8041497</v>
      </c>
      <c r="G78" s="1" t="s">
        <v>240</v>
      </c>
      <c r="H78" t="s">
        <v>101</v>
      </c>
      <c r="I78" s="1" t="s">
        <v>64</v>
      </c>
      <c r="J78" s="1" t="s">
        <v>65</v>
      </c>
    </row>
    <row r="79" spans="1:10" x14ac:dyDescent="0.25">
      <c r="A79" s="6" t="s">
        <v>191</v>
      </c>
      <c r="B79" s="6" t="s">
        <v>192</v>
      </c>
      <c r="C79" s="1" t="s">
        <v>66</v>
      </c>
      <c r="D79" s="7">
        <v>45315</v>
      </c>
      <c r="E79" s="1">
        <f>2025-2024</f>
        <v>1</v>
      </c>
      <c r="F79" s="1" t="s">
        <v>193</v>
      </c>
      <c r="G79" s="1" t="s">
        <v>240</v>
      </c>
      <c r="H79" t="s">
        <v>75</v>
      </c>
      <c r="I79" s="1" t="s">
        <v>64</v>
      </c>
      <c r="J79" s="1" t="s">
        <v>65</v>
      </c>
    </row>
    <row r="80" spans="1:10" x14ac:dyDescent="0.25">
      <c r="A80" s="2" t="s">
        <v>43</v>
      </c>
      <c r="B80" s="2" t="s">
        <v>44</v>
      </c>
      <c r="C80" s="2" t="s">
        <v>62</v>
      </c>
      <c r="D80" s="3">
        <v>31972</v>
      </c>
      <c r="E80" s="2">
        <f>2024-1987</f>
        <v>37</v>
      </c>
      <c r="F80" s="2">
        <v>17770737</v>
      </c>
      <c r="G80" s="2" t="s">
        <v>63</v>
      </c>
      <c r="H80" t="s">
        <v>63</v>
      </c>
      <c r="I80" s="2" t="s">
        <v>67</v>
      </c>
      <c r="J80" s="2" t="s">
        <v>194</v>
      </c>
    </row>
    <row r="81" spans="1:10" x14ac:dyDescent="0.25">
      <c r="A81" s="6" t="s">
        <v>195</v>
      </c>
      <c r="B81" s="6" t="s">
        <v>196</v>
      </c>
      <c r="C81" s="1" t="s">
        <v>66</v>
      </c>
      <c r="D81" s="7">
        <v>34817</v>
      </c>
      <c r="E81" s="1">
        <f>2024-1995</f>
        <v>29</v>
      </c>
      <c r="F81" s="1">
        <v>25004635</v>
      </c>
      <c r="G81" s="1" t="s">
        <v>240</v>
      </c>
      <c r="H81" t="s">
        <v>242</v>
      </c>
      <c r="I81" s="1" t="s">
        <v>67</v>
      </c>
      <c r="J81" s="1" t="s">
        <v>194</v>
      </c>
    </row>
    <row r="82" spans="1:10" x14ac:dyDescent="0.25">
      <c r="A82" s="6" t="s">
        <v>197</v>
      </c>
      <c r="B82" s="6" t="s">
        <v>198</v>
      </c>
      <c r="C82" s="1" t="s">
        <v>62</v>
      </c>
      <c r="D82" s="7">
        <v>43882</v>
      </c>
      <c r="E82" s="1">
        <f>2025-2020</f>
        <v>5</v>
      </c>
      <c r="F82" s="1" t="s">
        <v>199</v>
      </c>
      <c r="G82" s="1" t="s">
        <v>240</v>
      </c>
      <c r="H82" t="s">
        <v>73</v>
      </c>
      <c r="I82" s="1" t="s">
        <v>64</v>
      </c>
      <c r="J82" s="1" t="s">
        <v>194</v>
      </c>
    </row>
    <row r="83" spans="1:10" x14ac:dyDescent="0.25">
      <c r="A83" s="6" t="s">
        <v>200</v>
      </c>
      <c r="B83" s="6" t="s">
        <v>201</v>
      </c>
      <c r="C83" s="1" t="s">
        <v>66</v>
      </c>
      <c r="D83" s="7">
        <v>22788</v>
      </c>
      <c r="E83" s="1">
        <f>2024-1962</f>
        <v>62</v>
      </c>
      <c r="F83" s="1">
        <v>8082282</v>
      </c>
      <c r="G83" s="1" t="s">
        <v>240</v>
      </c>
      <c r="H83" t="s">
        <v>78</v>
      </c>
      <c r="I83" s="1" t="s">
        <v>202</v>
      </c>
      <c r="J83" s="1" t="s">
        <v>194</v>
      </c>
    </row>
    <row r="84" spans="1:10" x14ac:dyDescent="0.25">
      <c r="A84" s="6" t="s">
        <v>203</v>
      </c>
      <c r="B84" s="6" t="s">
        <v>204</v>
      </c>
      <c r="C84" s="1" t="s">
        <v>62</v>
      </c>
      <c r="D84" s="7">
        <v>22097</v>
      </c>
      <c r="E84" s="1">
        <f>2024-1960</f>
        <v>64</v>
      </c>
      <c r="F84" s="1">
        <v>8073812</v>
      </c>
      <c r="G84" s="1" t="s">
        <v>240</v>
      </c>
      <c r="H84" t="s">
        <v>101</v>
      </c>
      <c r="I84" s="1" t="s">
        <v>67</v>
      </c>
      <c r="J84" s="1" t="s">
        <v>194</v>
      </c>
    </row>
    <row r="85" spans="1:10" x14ac:dyDescent="0.25">
      <c r="A85" s="2" t="s">
        <v>10</v>
      </c>
      <c r="B85" s="2" t="s">
        <v>45</v>
      </c>
      <c r="C85" s="2" t="s">
        <v>62</v>
      </c>
      <c r="D85" s="3">
        <v>32946</v>
      </c>
      <c r="E85" s="2">
        <f>2024-1990</f>
        <v>34</v>
      </c>
      <c r="F85" s="2">
        <v>19046557</v>
      </c>
      <c r="G85" s="2" t="s">
        <v>63</v>
      </c>
      <c r="H85" t="s">
        <v>63</v>
      </c>
      <c r="I85" s="2" t="s">
        <v>67</v>
      </c>
      <c r="J85" s="2" t="s">
        <v>65</v>
      </c>
    </row>
    <row r="86" spans="1:10" x14ac:dyDescent="0.25">
      <c r="A86" s="6" t="s">
        <v>205</v>
      </c>
      <c r="B86" s="6" t="s">
        <v>206</v>
      </c>
      <c r="C86" s="1" t="s">
        <v>66</v>
      </c>
      <c r="D86" s="7">
        <v>32926</v>
      </c>
      <c r="E86" s="1">
        <f>2025-1990</f>
        <v>35</v>
      </c>
      <c r="F86" s="1">
        <v>19592721</v>
      </c>
      <c r="G86" s="1" t="s">
        <v>240</v>
      </c>
      <c r="H86" t="s">
        <v>242</v>
      </c>
      <c r="I86" s="1" t="s">
        <v>67</v>
      </c>
      <c r="J86" s="1" t="s">
        <v>65</v>
      </c>
    </row>
    <row r="87" spans="1:10" x14ac:dyDescent="0.25">
      <c r="A87" s="6" t="s">
        <v>207</v>
      </c>
      <c r="B87" s="6" t="s">
        <v>208</v>
      </c>
      <c r="C87" s="1" t="s">
        <v>62</v>
      </c>
      <c r="D87" s="7">
        <v>42548</v>
      </c>
      <c r="E87" s="1">
        <f>2024-2016</f>
        <v>8</v>
      </c>
      <c r="F87" s="1" t="s">
        <v>209</v>
      </c>
      <c r="G87" s="1" t="s">
        <v>240</v>
      </c>
      <c r="H87" t="s">
        <v>73</v>
      </c>
      <c r="I87" s="1" t="s">
        <v>64</v>
      </c>
      <c r="J87" s="1" t="s">
        <v>65</v>
      </c>
    </row>
    <row r="88" spans="1:10" x14ac:dyDescent="0.25">
      <c r="A88" s="6" t="s">
        <v>207</v>
      </c>
      <c r="B88" s="6" t="s">
        <v>210</v>
      </c>
      <c r="C88" s="1" t="s">
        <v>66</v>
      </c>
      <c r="D88" s="7">
        <v>44650</v>
      </c>
      <c r="E88" s="1">
        <f>2024-2022</f>
        <v>2</v>
      </c>
      <c r="F88" s="1" t="s">
        <v>211</v>
      </c>
      <c r="G88" s="1" t="s">
        <v>240</v>
      </c>
      <c r="H88" t="s">
        <v>75</v>
      </c>
      <c r="I88" s="1" t="s">
        <v>64</v>
      </c>
      <c r="J88" s="1" t="s">
        <v>65</v>
      </c>
    </row>
    <row r="89" spans="1:10" x14ac:dyDescent="0.25">
      <c r="A89" s="2" t="s">
        <v>46</v>
      </c>
      <c r="B89" s="2" t="s">
        <v>47</v>
      </c>
      <c r="C89" s="2" t="s">
        <v>62</v>
      </c>
      <c r="D89" s="3">
        <v>29939</v>
      </c>
      <c r="E89" s="2">
        <f>2024-1981</f>
        <v>43</v>
      </c>
      <c r="F89" s="2">
        <v>15296562</v>
      </c>
      <c r="G89" s="2" t="s">
        <v>63</v>
      </c>
      <c r="H89" t="s">
        <v>63</v>
      </c>
      <c r="I89" s="2" t="s">
        <v>64</v>
      </c>
      <c r="J89" s="2" t="s">
        <v>65</v>
      </c>
    </row>
    <row r="90" spans="1:10" x14ac:dyDescent="0.25">
      <c r="A90" s="6" t="s">
        <v>212</v>
      </c>
      <c r="B90" s="6" t="s">
        <v>213</v>
      </c>
      <c r="C90" s="1" t="s">
        <v>62</v>
      </c>
      <c r="D90" s="7">
        <v>41255</v>
      </c>
      <c r="E90" s="1">
        <f>2024-2012</f>
        <v>12</v>
      </c>
      <c r="F90" s="1">
        <v>34802202</v>
      </c>
      <c r="G90" s="1" t="s">
        <v>240</v>
      </c>
      <c r="H90" t="s">
        <v>73</v>
      </c>
      <c r="I90" s="1" t="s">
        <v>64</v>
      </c>
      <c r="J90" s="1" t="s">
        <v>65</v>
      </c>
    </row>
    <row r="91" spans="1:10" x14ac:dyDescent="0.25">
      <c r="A91" s="6" t="s">
        <v>214</v>
      </c>
      <c r="B91" s="6" t="s">
        <v>215</v>
      </c>
      <c r="C91" s="1" t="s">
        <v>66</v>
      </c>
      <c r="D91" s="7">
        <v>20707</v>
      </c>
      <c r="E91" s="1">
        <f>2024-1956</f>
        <v>68</v>
      </c>
      <c r="F91" s="1">
        <v>6049701</v>
      </c>
      <c r="G91" s="1" t="s">
        <v>240</v>
      </c>
      <c r="H91" t="s">
        <v>78</v>
      </c>
      <c r="I91" s="1" t="s">
        <v>67</v>
      </c>
      <c r="J91" s="1" t="s">
        <v>65</v>
      </c>
    </row>
    <row r="92" spans="1:10" x14ac:dyDescent="0.25">
      <c r="A92" s="6" t="s">
        <v>216</v>
      </c>
      <c r="B92" s="6" t="s">
        <v>47</v>
      </c>
      <c r="C92" s="1" t="s">
        <v>62</v>
      </c>
      <c r="D92" s="7">
        <v>19246</v>
      </c>
      <c r="E92" s="1">
        <f>2024-1952</f>
        <v>72</v>
      </c>
      <c r="F92" s="1">
        <v>3766122</v>
      </c>
      <c r="G92" s="1" t="s">
        <v>240</v>
      </c>
      <c r="H92" t="s">
        <v>101</v>
      </c>
      <c r="I92" s="1" t="s">
        <v>67</v>
      </c>
      <c r="J92" s="1" t="s">
        <v>65</v>
      </c>
    </row>
    <row r="93" spans="1:10" x14ac:dyDescent="0.25">
      <c r="A93" s="2" t="s">
        <v>48</v>
      </c>
      <c r="B93" s="2" t="s">
        <v>49</v>
      </c>
      <c r="C93" s="2" t="s">
        <v>66</v>
      </c>
      <c r="D93" s="3">
        <v>24333</v>
      </c>
      <c r="E93" s="2">
        <f>2024-1966</f>
        <v>58</v>
      </c>
      <c r="F93" s="2">
        <v>8047444</v>
      </c>
      <c r="G93" s="2" t="s">
        <v>63</v>
      </c>
      <c r="H93" t="s">
        <v>63</v>
      </c>
      <c r="I93" s="2" t="s">
        <v>64</v>
      </c>
      <c r="J93" s="2" t="s">
        <v>65</v>
      </c>
    </row>
    <row r="94" spans="1:10" x14ac:dyDescent="0.25">
      <c r="A94" s="6" t="s">
        <v>217</v>
      </c>
      <c r="B94" s="6" t="s">
        <v>218</v>
      </c>
      <c r="C94" s="1" t="s">
        <v>62</v>
      </c>
      <c r="D94" s="7">
        <v>19997</v>
      </c>
      <c r="E94" s="1">
        <f>2024-1954</f>
        <v>70</v>
      </c>
      <c r="F94" s="1">
        <v>3764571</v>
      </c>
      <c r="G94" s="1" t="s">
        <v>240</v>
      </c>
      <c r="H94" t="s">
        <v>241</v>
      </c>
      <c r="I94" s="1" t="s">
        <v>64</v>
      </c>
      <c r="J94" s="1" t="s">
        <v>65</v>
      </c>
    </row>
    <row r="95" spans="1:10" x14ac:dyDescent="0.25">
      <c r="A95" s="2" t="s">
        <v>50</v>
      </c>
      <c r="B95" s="2" t="s">
        <v>51</v>
      </c>
      <c r="C95" s="2" t="s">
        <v>62</v>
      </c>
      <c r="D95" s="3">
        <v>31361</v>
      </c>
      <c r="E95" s="2">
        <f>2024-1985</f>
        <v>39</v>
      </c>
      <c r="F95" s="2">
        <v>16906551</v>
      </c>
      <c r="G95" s="2" t="s">
        <v>63</v>
      </c>
      <c r="H95" t="s">
        <v>63</v>
      </c>
      <c r="I95" s="2" t="s">
        <v>67</v>
      </c>
      <c r="J95" s="2" t="s">
        <v>68</v>
      </c>
    </row>
    <row r="96" spans="1:10" x14ac:dyDescent="0.25">
      <c r="A96" s="6" t="s">
        <v>219</v>
      </c>
      <c r="B96" s="6" t="s">
        <v>220</v>
      </c>
      <c r="C96" s="1" t="s">
        <v>66</v>
      </c>
      <c r="D96" s="7">
        <v>33123</v>
      </c>
      <c r="E96" s="1">
        <f>2024-1990</f>
        <v>34</v>
      </c>
      <c r="F96" s="1">
        <v>20217188</v>
      </c>
      <c r="G96" s="1" t="s">
        <v>240</v>
      </c>
      <c r="H96" t="s">
        <v>242</v>
      </c>
      <c r="I96" s="1" t="s">
        <v>67</v>
      </c>
      <c r="J96" s="1" t="s">
        <v>68</v>
      </c>
    </row>
    <row r="97" spans="1:10" x14ac:dyDescent="0.25">
      <c r="A97" s="6" t="s">
        <v>221</v>
      </c>
      <c r="B97" s="6" t="s">
        <v>222</v>
      </c>
      <c r="C97" s="1" t="s">
        <v>62</v>
      </c>
      <c r="D97" s="7">
        <v>41842</v>
      </c>
      <c r="E97" s="1">
        <f>2024-2014</f>
        <v>10</v>
      </c>
      <c r="F97" s="1">
        <v>36183296</v>
      </c>
      <c r="G97" s="1" t="s">
        <v>240</v>
      </c>
      <c r="H97" t="s">
        <v>73</v>
      </c>
      <c r="I97" s="1" t="s">
        <v>64</v>
      </c>
      <c r="J97" s="1" t="s">
        <v>68</v>
      </c>
    </row>
    <row r="98" spans="1:10" x14ac:dyDescent="0.25">
      <c r="A98" s="6" t="s">
        <v>221</v>
      </c>
      <c r="B98" s="6" t="s">
        <v>223</v>
      </c>
      <c r="C98" s="1" t="s">
        <v>66</v>
      </c>
      <c r="D98" s="7">
        <v>44393</v>
      </c>
      <c r="E98" s="1">
        <f>2024-2021</f>
        <v>3</v>
      </c>
      <c r="F98" s="1" t="s">
        <v>224</v>
      </c>
      <c r="G98" s="1" t="s">
        <v>240</v>
      </c>
      <c r="H98" t="s">
        <v>75</v>
      </c>
      <c r="I98" s="1" t="s">
        <v>64</v>
      </c>
      <c r="J98" s="1" t="s">
        <v>68</v>
      </c>
    </row>
    <row r="99" spans="1:10" x14ac:dyDescent="0.25">
      <c r="A99" s="6" t="s">
        <v>2</v>
      </c>
      <c r="B99" s="6" t="s">
        <v>225</v>
      </c>
      <c r="C99" s="1" t="s">
        <v>62</v>
      </c>
      <c r="D99" s="7">
        <v>23622</v>
      </c>
      <c r="E99" s="1">
        <f>2024-1964</f>
        <v>60</v>
      </c>
      <c r="F99" s="1">
        <v>8085603</v>
      </c>
      <c r="G99" s="1" t="s">
        <v>240</v>
      </c>
      <c r="H99" t="s">
        <v>101</v>
      </c>
      <c r="I99" s="1" t="s">
        <v>67</v>
      </c>
      <c r="J99" s="1" t="s">
        <v>68</v>
      </c>
    </row>
    <row r="100" spans="1:10" x14ac:dyDescent="0.25">
      <c r="A100" s="6" t="s">
        <v>226</v>
      </c>
      <c r="B100" s="6" t="s">
        <v>227</v>
      </c>
      <c r="C100" s="1" t="s">
        <v>66</v>
      </c>
      <c r="D100" s="7">
        <v>24855</v>
      </c>
      <c r="E100" s="1">
        <f>2024-1968</f>
        <v>56</v>
      </c>
      <c r="F100" s="1">
        <v>8707477</v>
      </c>
      <c r="G100" s="1" t="s">
        <v>240</v>
      </c>
      <c r="H100" t="s">
        <v>78</v>
      </c>
      <c r="I100" s="1" t="s">
        <v>67</v>
      </c>
      <c r="J100" s="1" t="s">
        <v>68</v>
      </c>
    </row>
    <row r="101" spans="1:10" x14ac:dyDescent="0.25">
      <c r="A101" s="2" t="s">
        <v>52</v>
      </c>
      <c r="B101" s="2" t="s">
        <v>53</v>
      </c>
      <c r="C101" s="2" t="s">
        <v>62</v>
      </c>
      <c r="D101" s="3">
        <v>20702</v>
      </c>
      <c r="E101" s="2">
        <f>2024-1956</f>
        <v>68</v>
      </c>
      <c r="F101" s="2">
        <v>5201060</v>
      </c>
      <c r="G101" s="2" t="s">
        <v>63</v>
      </c>
      <c r="H101" t="s">
        <v>63</v>
      </c>
      <c r="I101" s="2" t="s">
        <v>64</v>
      </c>
      <c r="J101" s="2" t="s">
        <v>65</v>
      </c>
    </row>
    <row r="102" spans="1:10" x14ac:dyDescent="0.25">
      <c r="A102" s="2" t="s">
        <v>228</v>
      </c>
      <c r="B102" s="2" t="s">
        <v>229</v>
      </c>
      <c r="C102" s="2" t="s">
        <v>66</v>
      </c>
      <c r="D102" s="3">
        <v>23918</v>
      </c>
      <c r="E102" s="2">
        <f>2024-1965</f>
        <v>59</v>
      </c>
      <c r="F102" s="2">
        <v>9210317</v>
      </c>
      <c r="G102" s="2" t="s">
        <v>63</v>
      </c>
      <c r="H102" t="s">
        <v>63</v>
      </c>
      <c r="I102" s="2" t="s">
        <v>79</v>
      </c>
      <c r="J102" s="2" t="s">
        <v>65</v>
      </c>
    </row>
    <row r="103" spans="1:10" x14ac:dyDescent="0.25">
      <c r="A103" s="2" t="s">
        <v>230</v>
      </c>
      <c r="B103" s="2" t="s">
        <v>231</v>
      </c>
      <c r="C103" s="2" t="s">
        <v>66</v>
      </c>
      <c r="D103" s="3">
        <v>36741</v>
      </c>
      <c r="E103" s="2">
        <f>2024-2000</f>
        <v>24</v>
      </c>
      <c r="F103" s="2">
        <v>27581900</v>
      </c>
      <c r="G103" s="2" t="s">
        <v>63</v>
      </c>
      <c r="H103" t="s">
        <v>63</v>
      </c>
      <c r="I103" s="2" t="s">
        <v>67</v>
      </c>
      <c r="J103" s="2" t="s">
        <v>68</v>
      </c>
    </row>
    <row r="104" spans="1:10" x14ac:dyDescent="0.25">
      <c r="A104" s="6" t="s">
        <v>232</v>
      </c>
      <c r="B104" s="6" t="s">
        <v>233</v>
      </c>
      <c r="C104" s="1" t="s">
        <v>62</v>
      </c>
      <c r="D104" s="7">
        <v>36937</v>
      </c>
      <c r="E104" s="1">
        <f>2025-2001</f>
        <v>24</v>
      </c>
      <c r="F104" s="1">
        <v>28392832</v>
      </c>
      <c r="G104" s="1" t="s">
        <v>240</v>
      </c>
      <c r="H104" t="s">
        <v>241</v>
      </c>
      <c r="I104" s="1" t="s">
        <v>67</v>
      </c>
      <c r="J104" s="1" t="s">
        <v>68</v>
      </c>
    </row>
    <row r="105" spans="1:10" x14ac:dyDescent="0.25">
      <c r="A105" s="6" t="s">
        <v>2</v>
      </c>
      <c r="B105" s="6" t="s">
        <v>234</v>
      </c>
      <c r="C105" s="1" t="s">
        <v>62</v>
      </c>
      <c r="D105" s="11">
        <v>22047</v>
      </c>
      <c r="E105" s="1">
        <f>2024-1960</f>
        <v>64</v>
      </c>
      <c r="F105" s="1">
        <v>8072995</v>
      </c>
      <c r="G105" s="1" t="s">
        <v>240</v>
      </c>
      <c r="H105" t="s">
        <v>101</v>
      </c>
      <c r="I105" s="1" t="s">
        <v>67</v>
      </c>
      <c r="J105" s="1" t="s">
        <v>68</v>
      </c>
    </row>
    <row r="106" spans="1:10" x14ac:dyDescent="0.25">
      <c r="A106" s="6" t="s">
        <v>235</v>
      </c>
      <c r="B106" s="6" t="s">
        <v>236</v>
      </c>
      <c r="C106" s="1" t="s">
        <v>66</v>
      </c>
      <c r="D106" s="7">
        <v>24924</v>
      </c>
      <c r="E106" s="1">
        <f>2024-1968</f>
        <v>56</v>
      </c>
      <c r="F106" s="1">
        <v>8712579</v>
      </c>
      <c r="G106" s="1" t="s">
        <v>240</v>
      </c>
      <c r="H106" t="s">
        <v>78</v>
      </c>
      <c r="I106" s="1" t="s">
        <v>67</v>
      </c>
      <c r="J106" s="1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Daniel</cp:lastModifiedBy>
  <cp:lastPrinted>2025-04-10T13:28:20Z</cp:lastPrinted>
  <dcterms:created xsi:type="dcterms:W3CDTF">2025-02-27T02:31:19Z</dcterms:created>
  <dcterms:modified xsi:type="dcterms:W3CDTF">2025-04-10T16:50:41Z</dcterms:modified>
</cp:coreProperties>
</file>