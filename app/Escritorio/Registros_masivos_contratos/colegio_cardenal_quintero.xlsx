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Varios\Vbox cosas\misalu\app\Escritorio\Registros_masivos_contratos\"/>
    </mc:Choice>
  </mc:AlternateContent>
  <xr:revisionPtr revIDLastSave="0" documentId="13_ncr:1_{6F8F6924-99F7-4CCD-9499-9DE446590C4A}" xr6:coauthVersionLast="47" xr6:coauthVersionMax="47" xr10:uidLastSave="{00000000-0000-0000-0000-000000000000}"/>
  <bookViews>
    <workbookView xWindow="-11640" yWindow="-120" windowWidth="11760" windowHeight="20010" xr2:uid="{00000000-000D-0000-FFFF-FFFF00000000}"/>
  </bookViews>
  <sheets>
    <sheet name="DATA 31-10-25" sheetId="2" r:id="rId1"/>
  </sheets>
  <definedNames>
    <definedName name="_xlnm._FilterDatabase" localSheetId="0" hidden="1">'DATA 31-10-25'!$A$1:$K$81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E28" i="2"/>
  <c r="E27" i="2"/>
  <c r="E26" i="2"/>
  <c r="E25" i="2"/>
  <c r="E24" i="2"/>
</calcChain>
</file>

<file path=xl/sharedStrings.xml><?xml version="1.0" encoding="utf-8"?>
<sst xmlns="http://schemas.openxmlformats.org/spreadsheetml/2006/main" count="636" uniqueCount="179">
  <si>
    <t>Apellidos</t>
  </si>
  <si>
    <t>Nombres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</si>
  <si>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</si>
  <si>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</si>
  <si>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</si>
  <si>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</si>
  <si>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</si>
  <si>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</si>
  <si>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</si>
  <si>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</si>
  <si>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M</t>
  </si>
  <si>
    <t>TITULAR</t>
  </si>
  <si>
    <t>S</t>
  </si>
  <si>
    <t>F</t>
  </si>
  <si>
    <t>C</t>
  </si>
  <si>
    <t>MADRE</t>
  </si>
  <si>
    <t>JULIO CESAR</t>
  </si>
  <si>
    <t>PADRE</t>
  </si>
  <si>
    <t>Tel Movil</t>
  </si>
  <si>
    <t>email</t>
  </si>
  <si>
    <t>comentario</t>
  </si>
  <si>
    <t>BENEFICIARIO</t>
  </si>
  <si>
    <t>CUEVAS ZAMBRANO</t>
  </si>
  <si>
    <t>WALTER NAZARETH</t>
  </si>
  <si>
    <t>ZAMBRANO RAMIREZ</t>
  </si>
  <si>
    <t>MARIA ELENA</t>
  </si>
  <si>
    <t>GUILLEN ESPINOZA</t>
  </si>
  <si>
    <t>SOLIHAWNNY SOPHIA</t>
  </si>
  <si>
    <t>MARISOL</t>
  </si>
  <si>
    <t>PALAVICINI GIL</t>
  </si>
  <si>
    <t>CAMILA JULIET</t>
  </si>
  <si>
    <t>GIL QUINTERO</t>
  </si>
  <si>
    <t>BERLI JOSEFINA</t>
  </si>
  <si>
    <t>PALAVICINI GUEDEZ</t>
  </si>
  <si>
    <t>ROSANGEL</t>
  </si>
  <si>
    <t>SUAREZ BONILLA</t>
  </si>
  <si>
    <t>ARNALDO</t>
  </si>
  <si>
    <t>CHOURIO RAMIREZ</t>
  </si>
  <si>
    <t>SAMUEL DAVID</t>
  </si>
  <si>
    <t>ADA VANESA</t>
  </si>
  <si>
    <t>ESPINOZA BAUTISTA</t>
  </si>
  <si>
    <t>MARIA VICTORIA</t>
  </si>
  <si>
    <t>14700802-1</t>
  </si>
  <si>
    <t>MERCEDES</t>
  </si>
  <si>
    <t>SANCHEZ ANDRADE</t>
  </si>
  <si>
    <t>MANUEL</t>
  </si>
  <si>
    <t>22655467-1</t>
  </si>
  <si>
    <t>YENDRY</t>
  </si>
  <si>
    <t>SANCHEZ ALBARRAN</t>
  </si>
  <si>
    <t>MANUEL ALEJANDRO</t>
  </si>
  <si>
    <t>RANGEL PEREZ</t>
  </si>
  <si>
    <t>SANTIAGO</t>
  </si>
  <si>
    <t xml:space="preserve">PEREZ CASTILLO </t>
  </si>
  <si>
    <t>YULIMAR</t>
  </si>
  <si>
    <t>RANGEL RAMIREZ</t>
  </si>
  <si>
    <t>JHOSER LEANDRO</t>
  </si>
  <si>
    <t>MORA TORRES</t>
  </si>
  <si>
    <t>FABIAN ALI</t>
  </si>
  <si>
    <t>MARIA EUGENIA</t>
  </si>
  <si>
    <t>MORA RONDON</t>
  </si>
  <si>
    <t>RAMON ALI</t>
  </si>
  <si>
    <t>MOJICA CHIQUITO</t>
  </si>
  <si>
    <t>CAMILA ANDREINA</t>
  </si>
  <si>
    <t>22655616-1</t>
  </si>
  <si>
    <t xml:space="preserve">CHIQUITO TREJO </t>
  </si>
  <si>
    <t>HEIDI KARIN</t>
  </si>
  <si>
    <t>RONDON CHIQUITO</t>
  </si>
  <si>
    <t>JESSUAC</t>
  </si>
  <si>
    <t>22655616-2</t>
  </si>
  <si>
    <t>VALERO CHIQUITO</t>
  </si>
  <si>
    <t>HEIDER JESUS</t>
  </si>
  <si>
    <t>22655616-3</t>
  </si>
  <si>
    <t>MOLINA CASTRO</t>
  </si>
  <si>
    <t>ASHLY VICTORIA</t>
  </si>
  <si>
    <t>DARLYS</t>
  </si>
  <si>
    <t>MOLINA</t>
  </si>
  <si>
    <t>LUIS</t>
  </si>
  <si>
    <t>ROMERO CONTRERAS</t>
  </si>
  <si>
    <t>DIOHAN ALEJANDRO</t>
  </si>
  <si>
    <t>CONTRERAS MARQUEZ</t>
  </si>
  <si>
    <t>ANA MILEIDI</t>
  </si>
  <si>
    <t>SUESCUN ARISMENDI</t>
  </si>
  <si>
    <t>STEICIE</t>
  </si>
  <si>
    <t>16655381-1</t>
  </si>
  <si>
    <t>ARISMENDI PEREZ</t>
  </si>
  <si>
    <t>LILIBETH</t>
  </si>
  <si>
    <t>SUESCUN</t>
  </si>
  <si>
    <t>JOSE ESTEBAN</t>
  </si>
  <si>
    <t>HERNANDEZ SANCHEZ</t>
  </si>
  <si>
    <t>JIMENA PAOLA</t>
  </si>
  <si>
    <t>18797414-1</t>
  </si>
  <si>
    <t>YENIFER</t>
  </si>
  <si>
    <t>JOSE ALBERTO</t>
  </si>
  <si>
    <t>VICTORIA VALENTINA</t>
  </si>
  <si>
    <t>MONSALVE ROMERO</t>
  </si>
  <si>
    <t>PABLO JOSE</t>
  </si>
  <si>
    <t>ESPINOZA PAREDES</t>
  </si>
  <si>
    <t>SUAREZ PERDOMO</t>
  </si>
  <si>
    <t>BAUTISTA GARCIA</t>
  </si>
  <si>
    <t>ANDRADE BALZA</t>
  </si>
  <si>
    <t>22654657-1</t>
  </si>
  <si>
    <t>CASTRO DE MOLINA</t>
  </si>
  <si>
    <t>SANCHEZ RIVAS</t>
  </si>
  <si>
    <t>HERNANDEZ ALTUVE</t>
  </si>
  <si>
    <t>TORRES ESPINOZA</t>
  </si>
  <si>
    <t>FANNY ESPERANZA</t>
  </si>
  <si>
    <t>NELSON ALONSO</t>
  </si>
  <si>
    <t>MONSALVE ARISMENDI</t>
  </si>
  <si>
    <t>ROMERO CASTILLO</t>
  </si>
  <si>
    <t>GIL MOGOLLON</t>
  </si>
  <si>
    <t>FERNANDO DE JESUS</t>
  </si>
  <si>
    <t>NELSY SOFIA</t>
  </si>
  <si>
    <t>SAMARA SOFIA</t>
  </si>
  <si>
    <t>18797736-1</t>
  </si>
  <si>
    <t>MOGOLLON LOPEZ</t>
  </si>
  <si>
    <t>CALDERON RAMIREZ</t>
  </si>
  <si>
    <t>DAIANA VICTORIA</t>
  </si>
  <si>
    <t>RAMIREZ MORA</t>
  </si>
  <si>
    <t>LUZ MARINA</t>
  </si>
  <si>
    <t>DANNA VALENTINA</t>
  </si>
  <si>
    <t>17663825-1</t>
  </si>
  <si>
    <t>MUCUCHIES</t>
  </si>
  <si>
    <t>TORO ALBARRAN</t>
  </si>
  <si>
    <t>ENMANUEL ANTONIO</t>
  </si>
  <si>
    <t>JOSE ANTONIO</t>
  </si>
  <si>
    <t>TORO</t>
  </si>
  <si>
    <t>ESPINOZA RIVERA</t>
  </si>
  <si>
    <t>DANIEL ALEJANDRO</t>
  </si>
  <si>
    <t>15920698-1</t>
  </si>
  <si>
    <t>RIVERA LOBO</t>
  </si>
  <si>
    <t>ELBIS CAROLINA</t>
  </si>
  <si>
    <t>ALBARRAN CASTILLO</t>
  </si>
  <si>
    <t xml:space="preserve">ENMANUEL </t>
  </si>
  <si>
    <t>CASTILLO DE ALBARRAN</t>
  </si>
  <si>
    <t>OLECNY</t>
  </si>
  <si>
    <t xml:space="preserve">ALBARRAN </t>
  </si>
  <si>
    <t>PEDRO</t>
  </si>
  <si>
    <t>SALAZAR RODRIGUEZ</t>
  </si>
  <si>
    <t>VICTORIA SOFIA</t>
  </si>
  <si>
    <t>RODRIGUEZ GUILLEN</t>
  </si>
  <si>
    <t>ROSANA</t>
  </si>
  <si>
    <t>RIVAS ARIAS</t>
  </si>
  <si>
    <t>JUAN JOSE</t>
  </si>
  <si>
    <t>YUSMANY LIZZETH</t>
  </si>
  <si>
    <t>RIVAS LOBO</t>
  </si>
  <si>
    <t>JORGE LUIS</t>
  </si>
  <si>
    <t>ARIAS PUENTE</t>
  </si>
  <si>
    <t>SANCHEZ FLOREZ</t>
  </si>
  <si>
    <t>FERNANDO JOSE</t>
  </si>
  <si>
    <t>FLOREZ PEÑA</t>
  </si>
  <si>
    <t>PEREZ ARISMENDI</t>
  </si>
  <si>
    <t>SANDRA ELENA</t>
  </si>
  <si>
    <t>WUILIAM DE JESUS</t>
  </si>
  <si>
    <t>D</t>
  </si>
  <si>
    <t>PEREZ FLORES</t>
  </si>
  <si>
    <t>URIEL DE JESUS</t>
  </si>
  <si>
    <t>16908067-1</t>
  </si>
  <si>
    <t>ROJAS RUZ</t>
  </si>
  <si>
    <t>SAMANTHA OSCARLINE</t>
  </si>
  <si>
    <t>RUZ ANDRADE</t>
  </si>
  <si>
    <t>MIREYA</t>
  </si>
  <si>
    <t>ROJAS</t>
  </si>
  <si>
    <t>JOSE OSCAR</t>
  </si>
  <si>
    <t>MORA CONTRERAS</t>
  </si>
  <si>
    <t>ALESSIA ANTONELLA</t>
  </si>
  <si>
    <t>20832284-1</t>
  </si>
  <si>
    <t>CONTRERAS DE MORA</t>
  </si>
  <si>
    <t>ALEJANDRA LISBETH</t>
  </si>
  <si>
    <t>MORA MARQUEZ</t>
  </si>
  <si>
    <t>JAVIER ORLANDO</t>
  </si>
  <si>
    <t>CARVAJAL RIVAS</t>
  </si>
  <si>
    <t>SEBASTIAN IGNACIO</t>
  </si>
  <si>
    <t>22655690-1</t>
  </si>
  <si>
    <t>RIVAS BALZA</t>
  </si>
  <si>
    <t>YAMELI MAVELYN</t>
  </si>
  <si>
    <t>CARVAJAL LABRADOR</t>
  </si>
  <si>
    <t>JOSE MIGUEL</t>
  </si>
  <si>
    <t>CUENTA CON 1 CONSULTA DE MEDICINA OCUPACIONAL POR EL COLEGIO CARDENAL QUINTERO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</si>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</sst>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9"/>
      <name val="Calibri"/>
      <family val="2"/>
    </font>
    <font>
      <sz val="9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0" fillId="3" borderId="0" xfId="0" applyNumberFormat="1" applyFill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0" xfId="0" applyFill="1"/>
    <xf numFmtId="164" fontId="3" fillId="2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0" fillId="0" borderId="0" xfId="0" applyNumberFormat="1"/>
    <xf numFmtId="14" fontId="0" fillId="3" borderId="0" xfId="0" applyNumberFormat="1" applyFill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scheme val="none"/>
      </font>
      <fill>
        <patternFill patternType="solid">
          <fgColor indexed="55"/>
          <bgColor indexed="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M81" totalsRowShown="0" headerRowDxfId="10" tableBorderDxfId="9">
  <autoFilter ref="A1:M81" xr:uid="{00000000-0009-0000-0100-000001000000}">
    <filterColumn colId="6">
      <filters>
        <filter val="BENEFICIARIO"/>
      </filters>
    </filterColumn>
  </autoFilter>
  <tableColumns count="13">
    <tableColumn id="1" xr3:uid="{00000000-0010-0000-0000-000001000000}" name="Apellidos" dataDxfId="8"/>
    <tableColumn id="2" xr3:uid="{00000000-0010-0000-0000-000002000000}" name="Nombres" dataDxfId="7"/>
    <tableColumn id="3" xr3:uid="{00000000-0010-0000-0000-000003000000}" name="Genero" dataDxfId="6"/>
    <tableColumn id="4" xr3:uid="{00000000-0010-0000-0000-000004000000}" name="Fecha de Nacimiento"/>
    <tableColumn id="5" xr3:uid="{00000000-0010-0000-0000-000005000000}" name="EDAD" dataDxfId="5"/>
    <tableColumn id="6" xr3:uid="{00000000-0010-0000-0000-000006000000}" name="Cedula" dataDxfId="4"/>
    <tableColumn id="7" xr3:uid="{00000000-0010-0000-0000-000007000000}" name="Beneficiario / Titular" dataDxfId="3"/>
    <tableColumn id="8" xr3:uid="{00000000-0010-0000-0000-000008000000}" name="Parentesco" dataDxfId="2"/>
    <tableColumn id="9" xr3:uid="{00000000-0010-0000-0000-000009000000}" name="Estado Civil" dataDxfId="1"/>
    <tableColumn id="10" xr3:uid="{00000000-0010-0000-0000-00000A000000}" name="Dirección de Habitación" dataDxfId="0"/>
    <tableColumn id="11" xr3:uid="{00000000-0010-0000-0000-00000B000000}" name="Tel Movil"/>
    <tableColumn id="12" xr3:uid="{00000000-0010-0000-0000-00000C000000}" name="email"/>
    <tableColumn id="13" xr3:uid="{00000000-0010-0000-0000-00000D000000}" name="comentar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H1" zoomScaleNormal="100" workbookViewId="0">
      <selection activeCell="M5" sqref="M5:M81"/>
    </sheetView>
  </sheetViews>
  <sheetFormatPr baseColWidth="10" defaultRowHeight="15" x14ac:dyDescent="0.25"/>
  <cols>
    <col min="1" max="2" width="23.140625" customWidth="1"/>
    <col min="3" max="3" width="9" customWidth="1"/>
    <col min="4" max="4" width="18" customWidth="1"/>
    <col min="5" max="5" width="8.28515625" customWidth="1"/>
    <col min="7" max="7" width="19" customWidth="1"/>
    <col min="8" max="9" width="11.85546875" customWidth="1"/>
    <col min="10" max="10" width="21.28515625" customWidth="1"/>
    <col min="13" max="13" width="12.140625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7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18</v>
      </c>
      <c r="L1" s="6" t="s">
        <v>19</v>
      </c>
      <c r="M1" s="6" t="s">
        <v>20</v>
      </c>
    </row>
    <row r="2" spans="1:14" hidden="1" x14ac:dyDescent="0.25">
      <c r="A2" s="2" t="s">
        <v>22</v>
      </c>
      <c r="B2" s="2" t="s">
        <v>23</v>
      </c>
      <c r="C2" s="2" t="s">
        <v>10</v>
      </c>
      <c r="D2" s="3">
        <v>41649</v>
      </c>
      <c r="E2" s="2">
        <v>11</v>
      </c>
      <c r="F2" s="2">
        <v>35160411</v>
      </c>
      <c r="G2" s="2" t="s">
        <v>11</v>
      </c>
      <c r="H2" s="8" t="s">
        <v>11</v>
      </c>
      <c r="I2" s="2" t="s">
        <v>12</v>
      </c>
      <c r="J2" s="2" t="s">
        <v>121</v>
      </c>
      <c r="K2" s="8"/>
      <c r="L2" s="8"/>
      <c r="M2" s="8"/>
    </row>
    <row r="3" spans="1:14" x14ac:dyDescent="0.25">
      <c r="A3" s="4" t="s">
        <v>24</v>
      </c>
      <c r="B3" s="4" t="s">
        <v>25</v>
      </c>
      <c r="C3" s="4" t="s">
        <v>13</v>
      </c>
      <c r="D3" s="5">
        <v>30294</v>
      </c>
      <c r="E3" s="4">
        <v>43</v>
      </c>
      <c r="F3" s="4">
        <v>15165644</v>
      </c>
      <c r="G3" s="4" t="s">
        <v>21</v>
      </c>
      <c r="H3" t="s">
        <v>15</v>
      </c>
      <c r="I3" s="4" t="s">
        <v>12</v>
      </c>
      <c r="J3" s="4" t="s">
        <v>121</v>
      </c>
      <c r="K3">
        <v>4125054224</v>
      </c>
      <c r="L3" t="s">
        <v>178</v>
      </c>
      <c r="M3" t="s">
        <v>177</v>
      </c>
    </row>
    <row r="4" spans="1:14" hidden="1" x14ac:dyDescent="0.25">
      <c r="A4" s="2" t="s">
        <v>26</v>
      </c>
      <c r="B4" s="2" t="s">
        <v>27</v>
      </c>
      <c r="C4" s="2" t="s">
        <v>13</v>
      </c>
      <c r="D4" s="3">
        <v>41300</v>
      </c>
      <c r="E4" s="2">
        <v>12</v>
      </c>
      <c r="F4" s="2">
        <v>36033569</v>
      </c>
      <c r="G4" s="10" t="s">
        <v>11</v>
      </c>
      <c r="H4" s="8" t="s">
        <v>11</v>
      </c>
      <c r="I4" s="2" t="s">
        <v>12</v>
      </c>
      <c r="J4" s="2" t="s">
        <v>121</v>
      </c>
      <c r="K4" s="8"/>
      <c r="L4" s="8"/>
      <c r="M4" s="8"/>
    </row>
    <row r="5" spans="1:14" x14ac:dyDescent="0.25">
      <c r="A5" s="4" t="s">
        <v>96</v>
      </c>
      <c r="B5" s="4" t="s">
        <v>28</v>
      </c>
      <c r="C5" s="4" t="s">
        <v>13</v>
      </c>
      <c r="D5" s="5">
        <v>25315</v>
      </c>
      <c r="E5" s="1">
        <v>56</v>
      </c>
      <c r="F5" s="4">
        <v>10104003</v>
      </c>
      <c r="G5" s="1" t="s">
        <v>21</v>
      </c>
      <c r="H5" t="s">
        <v>15</v>
      </c>
      <c r="I5" s="4" t="s">
        <v>12</v>
      </c>
      <c r="J5" s="4" t="s">
        <v>121</v>
      </c>
      <c r="K5">
        <v>4126427097</v>
      </c>
      <c r="M5" t="s">
        <v>177</v>
      </c>
    </row>
    <row r="6" spans="1:14" hidden="1" x14ac:dyDescent="0.25">
      <c r="A6" s="2" t="s">
        <v>29</v>
      </c>
      <c r="B6" s="2" t="s">
        <v>30</v>
      </c>
      <c r="C6" s="2" t="s">
        <v>13</v>
      </c>
      <c r="D6" s="3">
        <v>41456</v>
      </c>
      <c r="E6" s="10">
        <v>12</v>
      </c>
      <c r="F6" s="2">
        <v>36269531</v>
      </c>
      <c r="G6" s="10" t="s">
        <v>11</v>
      </c>
      <c r="H6" s="8" t="s">
        <v>11</v>
      </c>
      <c r="I6" s="2" t="s">
        <v>12</v>
      </c>
      <c r="J6" s="2" t="s">
        <v>121</v>
      </c>
      <c r="K6" s="8"/>
      <c r="L6" s="8"/>
      <c r="M6" s="8"/>
    </row>
    <row r="7" spans="1:14" x14ac:dyDescent="0.25">
      <c r="A7" s="4" t="s">
        <v>31</v>
      </c>
      <c r="B7" s="4" t="s">
        <v>32</v>
      </c>
      <c r="C7" s="4" t="s">
        <v>13</v>
      </c>
      <c r="D7" s="5">
        <v>27379</v>
      </c>
      <c r="E7" s="4">
        <v>50</v>
      </c>
      <c r="F7" s="4">
        <v>11958352</v>
      </c>
      <c r="G7" s="4" t="s">
        <v>21</v>
      </c>
      <c r="H7" t="s">
        <v>15</v>
      </c>
      <c r="I7" s="4" t="s">
        <v>12</v>
      </c>
      <c r="J7" s="4" t="s">
        <v>121</v>
      </c>
      <c r="K7">
        <v>4145468116</v>
      </c>
      <c r="M7" t="s">
        <v>177</v>
      </c>
    </row>
    <row r="8" spans="1:14" x14ac:dyDescent="0.25">
      <c r="A8" s="4" t="s">
        <v>33</v>
      </c>
      <c r="B8" s="4" t="s">
        <v>16</v>
      </c>
      <c r="C8" s="4" t="s">
        <v>10</v>
      </c>
      <c r="D8" s="5">
        <v>19519</v>
      </c>
      <c r="E8" s="1">
        <v>72</v>
      </c>
      <c r="F8" s="4">
        <v>4022537</v>
      </c>
      <c r="G8" s="1" t="s">
        <v>21</v>
      </c>
      <c r="H8" t="s">
        <v>17</v>
      </c>
      <c r="I8" s="4" t="s">
        <v>12</v>
      </c>
      <c r="J8" s="4" t="s">
        <v>121</v>
      </c>
      <c r="K8">
        <v>4142410063</v>
      </c>
      <c r="M8" t="s">
        <v>177</v>
      </c>
    </row>
    <row r="9" spans="1:14" hidden="1" x14ac:dyDescent="0.25">
      <c r="A9" s="2" t="s">
        <v>35</v>
      </c>
      <c r="B9" s="2" t="s">
        <v>34</v>
      </c>
      <c r="C9" s="2" t="s">
        <v>13</v>
      </c>
      <c r="D9" s="3">
        <v>41319</v>
      </c>
      <c r="E9" s="2">
        <v>12</v>
      </c>
      <c r="F9" s="2">
        <v>34725550</v>
      </c>
      <c r="G9" s="2" t="s">
        <v>11</v>
      </c>
      <c r="H9" s="8" t="s">
        <v>11</v>
      </c>
      <c r="I9" s="2" t="s">
        <v>12</v>
      </c>
      <c r="J9" s="2" t="s">
        <v>121</v>
      </c>
      <c r="K9" s="8"/>
      <c r="L9" s="8"/>
      <c r="M9" s="8"/>
    </row>
    <row r="10" spans="1:14" x14ac:dyDescent="0.25">
      <c r="A10" s="4" t="s">
        <v>97</v>
      </c>
      <c r="B10" s="4" t="s">
        <v>36</v>
      </c>
      <c r="C10" s="4" t="s">
        <v>10</v>
      </c>
      <c r="D10" s="5">
        <v>26198</v>
      </c>
      <c r="E10" s="1">
        <v>54</v>
      </c>
      <c r="F10" s="4">
        <v>10486211</v>
      </c>
      <c r="G10" s="1" t="s">
        <v>21</v>
      </c>
      <c r="H10" t="s">
        <v>17</v>
      </c>
      <c r="I10" s="4" t="s">
        <v>14</v>
      </c>
      <c r="J10" s="4" t="s">
        <v>121</v>
      </c>
      <c r="K10">
        <v>4125230241</v>
      </c>
      <c r="M10" t="s">
        <v>177</v>
      </c>
    </row>
    <row r="11" spans="1:14" hidden="1" x14ac:dyDescent="0.25">
      <c r="A11" s="2" t="s">
        <v>37</v>
      </c>
      <c r="B11" s="2" t="s">
        <v>38</v>
      </c>
      <c r="C11" s="2" t="s">
        <v>10</v>
      </c>
      <c r="D11" s="3">
        <v>41977</v>
      </c>
      <c r="E11" s="10">
        <v>11</v>
      </c>
      <c r="F11" s="2">
        <v>36398514</v>
      </c>
      <c r="G11" s="10" t="s">
        <v>11</v>
      </c>
      <c r="H11" s="8" t="s">
        <v>11</v>
      </c>
      <c r="I11" s="2" t="s">
        <v>12</v>
      </c>
      <c r="J11" s="2" t="s">
        <v>121</v>
      </c>
      <c r="K11" s="8"/>
      <c r="L11" s="8"/>
      <c r="M11" s="8"/>
    </row>
    <row r="12" spans="1:14" x14ac:dyDescent="0.25">
      <c r="A12" s="4" t="s">
        <v>37</v>
      </c>
      <c r="B12" s="4" t="s">
        <v>39</v>
      </c>
      <c r="C12" s="4" t="s">
        <v>13</v>
      </c>
      <c r="D12" s="5">
        <v>31078</v>
      </c>
      <c r="E12" s="1">
        <v>40</v>
      </c>
      <c r="F12" s="4">
        <v>16739689</v>
      </c>
      <c r="G12" s="1" t="s">
        <v>21</v>
      </c>
      <c r="H12" t="s">
        <v>15</v>
      </c>
      <c r="I12" s="4" t="s">
        <v>12</v>
      </c>
      <c r="J12" s="4" t="s">
        <v>121</v>
      </c>
      <c r="K12">
        <v>4143712460</v>
      </c>
      <c r="M12" t="s">
        <v>177</v>
      </c>
    </row>
    <row r="13" spans="1:14" hidden="1" x14ac:dyDescent="0.25">
      <c r="A13" s="2" t="s">
        <v>40</v>
      </c>
      <c r="B13" s="2" t="s">
        <v>41</v>
      </c>
      <c r="C13" s="2" t="s">
        <v>13</v>
      </c>
      <c r="D13" s="3">
        <v>42305</v>
      </c>
      <c r="E13" s="2">
        <v>10</v>
      </c>
      <c r="F13" s="2" t="s">
        <v>42</v>
      </c>
      <c r="G13" s="2" t="s">
        <v>11</v>
      </c>
      <c r="H13" s="8" t="s">
        <v>11</v>
      </c>
      <c r="I13" s="2" t="s">
        <v>12</v>
      </c>
      <c r="J13" s="2" t="s">
        <v>121</v>
      </c>
      <c r="K13" s="8"/>
      <c r="L13" s="8"/>
      <c r="M13" s="8"/>
    </row>
    <row r="14" spans="1:14" x14ac:dyDescent="0.25">
      <c r="A14" s="4" t="s">
        <v>98</v>
      </c>
      <c r="B14" s="4" t="s">
        <v>43</v>
      </c>
      <c r="C14" s="1" t="s">
        <v>13</v>
      </c>
      <c r="D14" s="5">
        <v>28587</v>
      </c>
      <c r="E14" s="1">
        <v>46</v>
      </c>
      <c r="F14" s="1">
        <v>14700802</v>
      </c>
      <c r="G14" s="1" t="s">
        <v>21</v>
      </c>
      <c r="H14" t="s">
        <v>15</v>
      </c>
      <c r="I14" s="1" t="s">
        <v>12</v>
      </c>
      <c r="J14" s="1" t="s">
        <v>121</v>
      </c>
      <c r="K14">
        <v>4143795294</v>
      </c>
      <c r="M14" t="s">
        <v>177</v>
      </c>
    </row>
    <row r="15" spans="1:14" hidden="1" x14ac:dyDescent="0.25">
      <c r="A15" s="2" t="s">
        <v>44</v>
      </c>
      <c r="B15" s="2" t="s">
        <v>45</v>
      </c>
      <c r="C15" s="2" t="s">
        <v>10</v>
      </c>
      <c r="D15" s="3">
        <v>43676</v>
      </c>
      <c r="E15" s="2">
        <v>6</v>
      </c>
      <c r="F15" s="2" t="s">
        <v>46</v>
      </c>
      <c r="G15" s="2" t="s">
        <v>11</v>
      </c>
      <c r="H15" s="8" t="s">
        <v>11</v>
      </c>
      <c r="I15" s="2" t="s">
        <v>12</v>
      </c>
      <c r="J15" s="2" t="s">
        <v>121</v>
      </c>
      <c r="K15" s="8"/>
      <c r="L15" s="8"/>
      <c r="M15" s="8"/>
    </row>
    <row r="16" spans="1:14" x14ac:dyDescent="0.25">
      <c r="A16" s="4" t="s">
        <v>99</v>
      </c>
      <c r="B16" s="4" t="s">
        <v>47</v>
      </c>
      <c r="C16" s="1" t="s">
        <v>13</v>
      </c>
      <c r="D16" s="5">
        <v>34667</v>
      </c>
      <c r="E16" s="1">
        <v>31</v>
      </c>
      <c r="F16" s="1">
        <v>22655467</v>
      </c>
      <c r="G16" s="1" t="s">
        <v>21</v>
      </c>
      <c r="H16" t="s">
        <v>15</v>
      </c>
      <c r="I16" s="1" t="s">
        <v>14</v>
      </c>
      <c r="J16" s="1" t="s">
        <v>121</v>
      </c>
      <c r="K16">
        <v>4147445804</v>
      </c>
      <c r="M16" t="s">
        <v>177</v>
      </c>
      <c r="N16" s="19"/>
    </row>
    <row r="17" spans="1:13" x14ac:dyDescent="0.25">
      <c r="A17" s="4" t="s">
        <v>48</v>
      </c>
      <c r="B17" s="4" t="s">
        <v>49</v>
      </c>
      <c r="C17" s="1" t="s">
        <v>10</v>
      </c>
      <c r="D17" s="5">
        <v>34131</v>
      </c>
      <c r="E17" s="1">
        <v>32</v>
      </c>
      <c r="F17" s="1">
        <v>24374379</v>
      </c>
      <c r="G17" s="1" t="s">
        <v>21</v>
      </c>
      <c r="H17" t="s">
        <v>17</v>
      </c>
      <c r="I17" s="1" t="s">
        <v>14</v>
      </c>
      <c r="J17" s="1" t="s">
        <v>121</v>
      </c>
      <c r="M17" t="s">
        <v>177</v>
      </c>
    </row>
    <row r="18" spans="1:13" hidden="1" x14ac:dyDescent="0.25">
      <c r="A18" s="2" t="s">
        <v>50</v>
      </c>
      <c r="B18" s="2" t="s">
        <v>51</v>
      </c>
      <c r="C18" s="10" t="s">
        <v>10</v>
      </c>
      <c r="D18" s="3">
        <v>43782</v>
      </c>
      <c r="E18" s="10">
        <v>6</v>
      </c>
      <c r="F18" s="10" t="s">
        <v>100</v>
      </c>
      <c r="G18" s="10" t="s">
        <v>11</v>
      </c>
      <c r="H18" s="8" t="s">
        <v>11</v>
      </c>
      <c r="I18" s="10" t="s">
        <v>12</v>
      </c>
      <c r="J18" s="10" t="s">
        <v>121</v>
      </c>
      <c r="K18" s="8"/>
      <c r="L18" s="8"/>
      <c r="M18" s="8"/>
    </row>
    <row r="19" spans="1:13" x14ac:dyDescent="0.25">
      <c r="A19" s="4" t="s">
        <v>52</v>
      </c>
      <c r="B19" s="4" t="s">
        <v>53</v>
      </c>
      <c r="C19" s="1" t="s">
        <v>13</v>
      </c>
      <c r="D19" s="5">
        <v>34673</v>
      </c>
      <c r="E19" s="1">
        <v>31</v>
      </c>
      <c r="F19" s="1">
        <v>22654657</v>
      </c>
      <c r="G19" s="1" t="s">
        <v>21</v>
      </c>
      <c r="H19" t="s">
        <v>15</v>
      </c>
      <c r="I19" s="1" t="s">
        <v>12</v>
      </c>
      <c r="J19" s="1" t="s">
        <v>121</v>
      </c>
      <c r="K19">
        <v>4121213347</v>
      </c>
      <c r="M19" t="s">
        <v>177</v>
      </c>
    </row>
    <row r="20" spans="1:13" x14ac:dyDescent="0.25">
      <c r="A20" s="4" t="s">
        <v>54</v>
      </c>
      <c r="B20" s="4" t="s">
        <v>55</v>
      </c>
      <c r="C20" s="4" t="s">
        <v>10</v>
      </c>
      <c r="D20" s="5">
        <v>34361</v>
      </c>
      <c r="E20" s="4">
        <v>31</v>
      </c>
      <c r="F20" s="4">
        <v>22654756</v>
      </c>
      <c r="G20" s="4" t="s">
        <v>21</v>
      </c>
      <c r="H20" t="s">
        <v>17</v>
      </c>
      <c r="I20" s="4" t="s">
        <v>12</v>
      </c>
      <c r="J20" s="4" t="s">
        <v>121</v>
      </c>
      <c r="M20" t="s">
        <v>177</v>
      </c>
    </row>
    <row r="21" spans="1:13" hidden="1" x14ac:dyDescent="0.25">
      <c r="A21" s="2" t="s">
        <v>56</v>
      </c>
      <c r="B21" s="2" t="s">
        <v>57</v>
      </c>
      <c r="C21" s="10" t="s">
        <v>10</v>
      </c>
      <c r="D21" s="3">
        <v>40917</v>
      </c>
      <c r="E21" s="10">
        <v>13</v>
      </c>
      <c r="F21" s="10">
        <v>34545690</v>
      </c>
      <c r="G21" s="10" t="s">
        <v>11</v>
      </c>
      <c r="H21" s="8" t="s">
        <v>11</v>
      </c>
      <c r="I21" s="10" t="s">
        <v>12</v>
      </c>
      <c r="J21" s="10" t="s">
        <v>121</v>
      </c>
      <c r="K21" s="8"/>
      <c r="L21" s="8"/>
      <c r="M21" s="8"/>
    </row>
    <row r="22" spans="1:13" x14ac:dyDescent="0.25">
      <c r="A22" s="4" t="s">
        <v>104</v>
      </c>
      <c r="B22" s="4" t="s">
        <v>58</v>
      </c>
      <c r="C22" s="1" t="s">
        <v>13</v>
      </c>
      <c r="D22" s="5">
        <v>28363</v>
      </c>
      <c r="E22" s="1">
        <v>48</v>
      </c>
      <c r="F22" s="1">
        <v>13577399</v>
      </c>
      <c r="G22" s="1" t="s">
        <v>21</v>
      </c>
      <c r="H22" t="s">
        <v>15</v>
      </c>
      <c r="I22" s="1" t="s">
        <v>12</v>
      </c>
      <c r="J22" s="1" t="s">
        <v>121</v>
      </c>
      <c r="K22">
        <v>4126426491</v>
      </c>
      <c r="M22" t="s">
        <v>177</v>
      </c>
    </row>
    <row r="23" spans="1:13" x14ac:dyDescent="0.25">
      <c r="A23" s="4" t="s">
        <v>59</v>
      </c>
      <c r="B23" s="4" t="s">
        <v>60</v>
      </c>
      <c r="C23" s="1" t="s">
        <v>10</v>
      </c>
      <c r="D23" s="5">
        <v>29059</v>
      </c>
      <c r="E23" s="1">
        <v>46</v>
      </c>
      <c r="F23" s="1">
        <v>14623491</v>
      </c>
      <c r="G23" s="1" t="s">
        <v>21</v>
      </c>
      <c r="H23" t="s">
        <v>17</v>
      </c>
      <c r="I23" s="1" t="s">
        <v>12</v>
      </c>
      <c r="J23" s="1" t="s">
        <v>121</v>
      </c>
      <c r="M23" t="s">
        <v>177</v>
      </c>
    </row>
    <row r="24" spans="1:13" hidden="1" x14ac:dyDescent="0.25">
      <c r="A24" s="2" t="s">
        <v>61</v>
      </c>
      <c r="B24" s="2" t="s">
        <v>62</v>
      </c>
      <c r="C24" s="10" t="s">
        <v>13</v>
      </c>
      <c r="D24" s="3">
        <v>43398</v>
      </c>
      <c r="E24" s="10">
        <f>2024-2018</f>
        <v>6</v>
      </c>
      <c r="F24" s="10" t="s">
        <v>63</v>
      </c>
      <c r="G24" s="10" t="s">
        <v>11</v>
      </c>
      <c r="H24" s="8" t="s">
        <v>11</v>
      </c>
      <c r="I24" s="10" t="s">
        <v>12</v>
      </c>
      <c r="J24" s="10" t="s">
        <v>121</v>
      </c>
      <c r="K24" s="8"/>
      <c r="L24" s="8"/>
      <c r="M24" s="8"/>
    </row>
    <row r="25" spans="1:13" x14ac:dyDescent="0.25">
      <c r="A25" s="4" t="s">
        <v>64</v>
      </c>
      <c r="B25" s="4" t="s">
        <v>65</v>
      </c>
      <c r="C25" s="4" t="s">
        <v>13</v>
      </c>
      <c r="D25" s="5">
        <v>23375</v>
      </c>
      <c r="E25" s="4">
        <f>2024-1963</f>
        <v>61</v>
      </c>
      <c r="F25" s="4">
        <v>22655616</v>
      </c>
      <c r="G25" s="4" t="s">
        <v>21</v>
      </c>
      <c r="H25" t="s">
        <v>15</v>
      </c>
      <c r="I25" s="4" t="s">
        <v>12</v>
      </c>
      <c r="J25" s="4" t="s">
        <v>121</v>
      </c>
      <c r="K25">
        <v>4126046971</v>
      </c>
      <c r="M25" t="s">
        <v>177</v>
      </c>
    </row>
    <row r="26" spans="1:13" hidden="1" x14ac:dyDescent="0.25">
      <c r="A26" s="2" t="s">
        <v>66</v>
      </c>
      <c r="B26" s="2" t="s">
        <v>67</v>
      </c>
      <c r="C26" s="10" t="s">
        <v>10</v>
      </c>
      <c r="D26" s="3">
        <v>23762</v>
      </c>
      <c r="E26" s="10">
        <f>2025-1965</f>
        <v>60</v>
      </c>
      <c r="F26" s="10" t="s">
        <v>68</v>
      </c>
      <c r="G26" s="10" t="s">
        <v>11</v>
      </c>
      <c r="H26" s="8" t="s">
        <v>11</v>
      </c>
      <c r="I26" s="10" t="s">
        <v>12</v>
      </c>
      <c r="J26" s="10" t="s">
        <v>121</v>
      </c>
      <c r="K26" s="8"/>
      <c r="L26" s="8"/>
      <c r="M26" s="8"/>
    </row>
    <row r="27" spans="1:13" x14ac:dyDescent="0.25">
      <c r="A27" s="4" t="s">
        <v>64</v>
      </c>
      <c r="B27" s="4" t="s">
        <v>65</v>
      </c>
      <c r="C27" s="1" t="s">
        <v>13</v>
      </c>
      <c r="D27" s="5">
        <v>38187</v>
      </c>
      <c r="E27" s="1">
        <f>2024-2004</f>
        <v>20</v>
      </c>
      <c r="F27" s="1">
        <v>22655616</v>
      </c>
      <c r="G27" s="1" t="s">
        <v>21</v>
      </c>
      <c r="H27" t="s">
        <v>15</v>
      </c>
      <c r="I27" s="1" t="s">
        <v>12</v>
      </c>
      <c r="J27" s="1" t="s">
        <v>121</v>
      </c>
      <c r="K27">
        <v>4126046971</v>
      </c>
      <c r="M27" t="s">
        <v>177</v>
      </c>
    </row>
    <row r="28" spans="1:13" hidden="1" x14ac:dyDescent="0.25">
      <c r="A28" s="2" t="s">
        <v>69</v>
      </c>
      <c r="B28" s="2" t="s">
        <v>70</v>
      </c>
      <c r="C28" s="10" t="s">
        <v>10</v>
      </c>
      <c r="D28" s="3">
        <v>38842</v>
      </c>
      <c r="E28" s="10">
        <f>2025-2006</f>
        <v>19</v>
      </c>
      <c r="F28" s="10" t="s">
        <v>71</v>
      </c>
      <c r="G28" s="10" t="s">
        <v>11</v>
      </c>
      <c r="H28" s="8" t="s">
        <v>11</v>
      </c>
      <c r="I28" s="10" t="s">
        <v>12</v>
      </c>
      <c r="J28" s="10" t="s">
        <v>121</v>
      </c>
      <c r="K28" s="8"/>
      <c r="L28" s="8"/>
      <c r="M28" s="8"/>
    </row>
    <row r="29" spans="1:13" x14ac:dyDescent="0.25">
      <c r="A29" s="4" t="s">
        <v>64</v>
      </c>
      <c r="B29" s="4" t="s">
        <v>65</v>
      </c>
      <c r="C29" s="1" t="s">
        <v>13</v>
      </c>
      <c r="D29" s="5">
        <v>44272</v>
      </c>
      <c r="E29" s="1">
        <f>2024-2021</f>
        <v>3</v>
      </c>
      <c r="F29" s="1">
        <v>22655616</v>
      </c>
      <c r="G29" s="1" t="s">
        <v>21</v>
      </c>
      <c r="H29" t="s">
        <v>15</v>
      </c>
      <c r="I29" s="1" t="s">
        <v>12</v>
      </c>
      <c r="J29" s="1" t="s">
        <v>121</v>
      </c>
      <c r="M29" t="s">
        <v>177</v>
      </c>
    </row>
    <row r="30" spans="1:13" hidden="1" x14ac:dyDescent="0.25">
      <c r="A30" s="12" t="s">
        <v>72</v>
      </c>
      <c r="B30" s="12" t="s">
        <v>73</v>
      </c>
      <c r="C30" s="10" t="s">
        <v>13</v>
      </c>
      <c r="D30" s="14">
        <v>41418</v>
      </c>
      <c r="E30" s="10">
        <v>12</v>
      </c>
      <c r="F30" s="10">
        <v>34968654</v>
      </c>
      <c r="G30" s="10" t="s">
        <v>11</v>
      </c>
      <c r="H30" s="10" t="s">
        <v>11</v>
      </c>
      <c r="I30" s="10" t="s">
        <v>12</v>
      </c>
      <c r="J30" s="10" t="s">
        <v>121</v>
      </c>
      <c r="K30" s="8"/>
      <c r="L30" s="8"/>
      <c r="M30" s="8"/>
    </row>
    <row r="31" spans="1:13" x14ac:dyDescent="0.25">
      <c r="A31" s="11" t="s">
        <v>101</v>
      </c>
      <c r="B31" s="11" t="s">
        <v>74</v>
      </c>
      <c r="C31" s="1" t="s">
        <v>13</v>
      </c>
      <c r="D31" s="13">
        <v>29680</v>
      </c>
      <c r="E31" s="1">
        <v>44</v>
      </c>
      <c r="F31" s="1">
        <v>15470454</v>
      </c>
      <c r="G31" s="1" t="s">
        <v>21</v>
      </c>
      <c r="H31" s="1" t="s">
        <v>15</v>
      </c>
      <c r="I31" s="1" t="s">
        <v>14</v>
      </c>
      <c r="J31" s="1" t="s">
        <v>121</v>
      </c>
      <c r="M31" t="s">
        <v>177</v>
      </c>
    </row>
    <row r="32" spans="1:13" x14ac:dyDescent="0.25">
      <c r="A32" s="11" t="s">
        <v>75</v>
      </c>
      <c r="B32" s="11" t="s">
        <v>76</v>
      </c>
      <c r="C32" s="1" t="s">
        <v>10</v>
      </c>
      <c r="D32" s="13">
        <v>28476</v>
      </c>
      <c r="E32" s="1">
        <v>48</v>
      </c>
      <c r="F32" s="1">
        <v>13803471</v>
      </c>
      <c r="G32" s="1" t="s">
        <v>21</v>
      </c>
      <c r="H32" s="1" t="s">
        <v>17</v>
      </c>
      <c r="I32" s="1" t="s">
        <v>14</v>
      </c>
      <c r="J32" s="1" t="s">
        <v>121</v>
      </c>
      <c r="K32">
        <v>4247634830</v>
      </c>
      <c r="M32" t="s">
        <v>177</v>
      </c>
    </row>
    <row r="33" spans="1:13" hidden="1" x14ac:dyDescent="0.25">
      <c r="A33" s="12" t="s">
        <v>77</v>
      </c>
      <c r="B33" s="12" t="s">
        <v>78</v>
      </c>
      <c r="C33" s="10" t="s">
        <v>10</v>
      </c>
      <c r="D33" s="14">
        <v>41220</v>
      </c>
      <c r="E33" s="10">
        <v>13</v>
      </c>
      <c r="F33" s="10">
        <v>34544864</v>
      </c>
      <c r="G33" s="10" t="s">
        <v>11</v>
      </c>
      <c r="H33" s="10" t="s">
        <v>11</v>
      </c>
      <c r="I33" s="10" t="s">
        <v>12</v>
      </c>
      <c r="J33" s="10" t="s">
        <v>121</v>
      </c>
      <c r="K33" s="8"/>
      <c r="L33" s="8"/>
      <c r="M33" s="8"/>
    </row>
    <row r="34" spans="1:13" x14ac:dyDescent="0.25">
      <c r="A34" s="11" t="s">
        <v>79</v>
      </c>
      <c r="B34" s="11" t="s">
        <v>80</v>
      </c>
      <c r="C34" s="1" t="s">
        <v>13</v>
      </c>
      <c r="D34" s="13">
        <v>33144</v>
      </c>
      <c r="E34" s="1">
        <v>35</v>
      </c>
      <c r="F34" s="1">
        <v>20831034</v>
      </c>
      <c r="G34" s="1" t="s">
        <v>21</v>
      </c>
      <c r="H34" s="1" t="s">
        <v>15</v>
      </c>
      <c r="I34" s="1" t="s">
        <v>12</v>
      </c>
      <c r="J34" s="1" t="s">
        <v>121</v>
      </c>
      <c r="M34" t="s">
        <v>177</v>
      </c>
    </row>
    <row r="35" spans="1:13" hidden="1" x14ac:dyDescent="0.25">
      <c r="A35" s="12" t="s">
        <v>81</v>
      </c>
      <c r="B35" s="12" t="s">
        <v>82</v>
      </c>
      <c r="C35" s="10" t="s">
        <v>13</v>
      </c>
      <c r="D35" s="14">
        <v>41712</v>
      </c>
      <c r="E35" s="10">
        <v>11</v>
      </c>
      <c r="F35" s="10" t="s">
        <v>83</v>
      </c>
      <c r="G35" s="10" t="s">
        <v>11</v>
      </c>
      <c r="H35" s="10" t="s">
        <v>11</v>
      </c>
      <c r="I35" s="10" t="s">
        <v>12</v>
      </c>
      <c r="J35" s="10" t="s">
        <v>121</v>
      </c>
      <c r="K35" s="8"/>
      <c r="L35" s="8"/>
      <c r="M35" s="8"/>
    </row>
    <row r="36" spans="1:13" x14ac:dyDescent="0.25">
      <c r="A36" s="11" t="s">
        <v>84</v>
      </c>
      <c r="B36" s="11" t="s">
        <v>85</v>
      </c>
      <c r="C36" s="1" t="s">
        <v>13</v>
      </c>
      <c r="D36" s="13">
        <v>31082</v>
      </c>
      <c r="E36" s="1">
        <v>40</v>
      </c>
      <c r="F36" s="1">
        <v>16655381</v>
      </c>
      <c r="G36" s="1" t="s">
        <v>21</v>
      </c>
      <c r="H36" s="1" t="s">
        <v>15</v>
      </c>
      <c r="I36" s="1" t="s">
        <v>12</v>
      </c>
      <c r="J36" s="1" t="s">
        <v>121</v>
      </c>
      <c r="K36">
        <v>4143751017</v>
      </c>
      <c r="M36" t="s">
        <v>177</v>
      </c>
    </row>
    <row r="37" spans="1:13" x14ac:dyDescent="0.25">
      <c r="A37" s="11" t="s">
        <v>86</v>
      </c>
      <c r="B37" s="11" t="s">
        <v>87</v>
      </c>
      <c r="C37" s="1" t="s">
        <v>10</v>
      </c>
      <c r="D37" s="13">
        <v>30185</v>
      </c>
      <c r="E37" s="1">
        <v>43</v>
      </c>
      <c r="F37" s="1">
        <v>15923245</v>
      </c>
      <c r="G37" s="1" t="s">
        <v>21</v>
      </c>
      <c r="H37" s="1" t="s">
        <v>17</v>
      </c>
      <c r="I37" s="1" t="s">
        <v>12</v>
      </c>
      <c r="J37" s="1" t="s">
        <v>121</v>
      </c>
      <c r="M37" t="s">
        <v>177</v>
      </c>
    </row>
    <row r="38" spans="1:13" hidden="1" x14ac:dyDescent="0.25">
      <c r="A38" s="12" t="s">
        <v>88</v>
      </c>
      <c r="B38" s="12" t="s">
        <v>89</v>
      </c>
      <c r="C38" s="10" t="s">
        <v>13</v>
      </c>
      <c r="D38" s="14">
        <v>43195</v>
      </c>
      <c r="E38" s="10">
        <v>7</v>
      </c>
      <c r="F38" s="10" t="s">
        <v>90</v>
      </c>
      <c r="G38" s="10" t="s">
        <v>11</v>
      </c>
      <c r="H38" s="10" t="s">
        <v>11</v>
      </c>
      <c r="I38" s="10" t="s">
        <v>12</v>
      </c>
      <c r="J38" s="10" t="s">
        <v>121</v>
      </c>
      <c r="K38" s="8"/>
      <c r="L38" s="8"/>
      <c r="M38" s="8"/>
    </row>
    <row r="39" spans="1:13" x14ac:dyDescent="0.25">
      <c r="A39" s="11" t="s">
        <v>102</v>
      </c>
      <c r="B39" s="11" t="s">
        <v>91</v>
      </c>
      <c r="C39" s="1" t="s">
        <v>13</v>
      </c>
      <c r="D39" s="13">
        <v>32411</v>
      </c>
      <c r="E39" s="1">
        <v>37</v>
      </c>
      <c r="F39" s="1">
        <v>18797414</v>
      </c>
      <c r="G39" s="1" t="s">
        <v>21</v>
      </c>
      <c r="H39" s="1" t="s">
        <v>15</v>
      </c>
      <c r="I39" s="1" t="s">
        <v>14</v>
      </c>
      <c r="J39" s="1" t="s">
        <v>121</v>
      </c>
      <c r="K39">
        <v>4126439137</v>
      </c>
      <c r="M39" t="s">
        <v>177</v>
      </c>
    </row>
    <row r="40" spans="1:13" x14ac:dyDescent="0.25">
      <c r="A40" s="11" t="s">
        <v>103</v>
      </c>
      <c r="B40" s="11" t="s">
        <v>92</v>
      </c>
      <c r="C40" s="1" t="s">
        <v>10</v>
      </c>
      <c r="D40" s="13">
        <v>31515</v>
      </c>
      <c r="E40" s="1">
        <v>39</v>
      </c>
      <c r="F40" s="1">
        <v>17770719</v>
      </c>
      <c r="G40" s="1" t="s">
        <v>21</v>
      </c>
      <c r="H40" s="1" t="s">
        <v>17</v>
      </c>
      <c r="I40" s="1" t="s">
        <v>14</v>
      </c>
      <c r="J40" s="1" t="s">
        <v>121</v>
      </c>
      <c r="M40" t="s">
        <v>177</v>
      </c>
    </row>
    <row r="41" spans="1:13" hidden="1" x14ac:dyDescent="0.25">
      <c r="A41" s="12" t="s">
        <v>88</v>
      </c>
      <c r="B41" s="12" t="s">
        <v>93</v>
      </c>
      <c r="C41" s="10" t="s">
        <v>13</v>
      </c>
      <c r="D41" s="14">
        <v>41589</v>
      </c>
      <c r="E41" s="10">
        <v>12</v>
      </c>
      <c r="F41" s="10">
        <v>34968910</v>
      </c>
      <c r="G41" s="10" t="s">
        <v>11</v>
      </c>
      <c r="H41" s="10" t="s">
        <v>11</v>
      </c>
      <c r="I41" s="10" t="s">
        <v>12</v>
      </c>
      <c r="J41" s="10" t="s">
        <v>121</v>
      </c>
      <c r="K41" s="8"/>
      <c r="L41" s="8"/>
      <c r="M41" s="8"/>
    </row>
    <row r="42" spans="1:13" x14ac:dyDescent="0.25">
      <c r="A42" s="11" t="s">
        <v>102</v>
      </c>
      <c r="B42" s="11" t="s">
        <v>91</v>
      </c>
      <c r="C42" s="1" t="s">
        <v>13</v>
      </c>
      <c r="D42" s="13">
        <v>32411</v>
      </c>
      <c r="E42" s="1">
        <v>37</v>
      </c>
      <c r="F42" s="1">
        <v>18797414</v>
      </c>
      <c r="G42" s="1" t="s">
        <v>21</v>
      </c>
      <c r="H42" s="1" t="s">
        <v>15</v>
      </c>
      <c r="I42" s="1" t="s">
        <v>14</v>
      </c>
      <c r="J42" s="1" t="s">
        <v>121</v>
      </c>
      <c r="K42">
        <v>4126439137</v>
      </c>
      <c r="M42" t="s">
        <v>177</v>
      </c>
    </row>
    <row r="43" spans="1:13" x14ac:dyDescent="0.25">
      <c r="A43" s="11" t="s">
        <v>103</v>
      </c>
      <c r="B43" s="11" t="s">
        <v>92</v>
      </c>
      <c r="C43" s="1" t="s">
        <v>10</v>
      </c>
      <c r="D43" s="13">
        <v>31515</v>
      </c>
      <c r="E43" s="1">
        <v>39</v>
      </c>
      <c r="F43" s="1">
        <v>17770719</v>
      </c>
      <c r="G43" s="1" t="s">
        <v>21</v>
      </c>
      <c r="H43" s="1" t="s">
        <v>17</v>
      </c>
      <c r="I43" s="1" t="s">
        <v>14</v>
      </c>
      <c r="J43" s="1" t="s">
        <v>121</v>
      </c>
      <c r="M43" t="s">
        <v>177</v>
      </c>
    </row>
    <row r="44" spans="1:13" hidden="1" x14ac:dyDescent="0.25">
      <c r="A44" s="12" t="s">
        <v>94</v>
      </c>
      <c r="B44" s="12" t="s">
        <v>95</v>
      </c>
      <c r="C44" s="10" t="s">
        <v>10</v>
      </c>
      <c r="D44" s="14">
        <v>42001</v>
      </c>
      <c r="E44" s="10">
        <v>11</v>
      </c>
      <c r="F44" s="10">
        <v>36658063</v>
      </c>
      <c r="G44" s="10" t="s">
        <v>11</v>
      </c>
      <c r="H44" s="10" t="s">
        <v>11</v>
      </c>
      <c r="I44" s="10" t="s">
        <v>12</v>
      </c>
      <c r="J44" s="10" t="s">
        <v>121</v>
      </c>
      <c r="K44" s="8"/>
      <c r="L44" s="8"/>
      <c r="M44" s="8"/>
    </row>
    <row r="45" spans="1:13" x14ac:dyDescent="0.25">
      <c r="A45" s="11" t="s">
        <v>108</v>
      </c>
      <c r="B45" s="11" t="s">
        <v>105</v>
      </c>
      <c r="C45" s="1" t="s">
        <v>13</v>
      </c>
      <c r="D45" s="13">
        <v>26414</v>
      </c>
      <c r="E45" s="1">
        <v>53</v>
      </c>
      <c r="F45" s="1">
        <v>11395565</v>
      </c>
      <c r="G45" s="1" t="s">
        <v>21</v>
      </c>
      <c r="H45" s="1" t="s">
        <v>15</v>
      </c>
      <c r="I45" s="1" t="s">
        <v>12</v>
      </c>
      <c r="J45" s="1" t="s">
        <v>121</v>
      </c>
      <c r="K45">
        <v>4247723572</v>
      </c>
      <c r="M45" t="s">
        <v>177</v>
      </c>
    </row>
    <row r="46" spans="1:13" x14ac:dyDescent="0.25">
      <c r="A46" s="11" t="s">
        <v>107</v>
      </c>
      <c r="B46" s="11" t="s">
        <v>106</v>
      </c>
      <c r="C46" s="1" t="s">
        <v>10</v>
      </c>
      <c r="D46" s="13">
        <v>26579</v>
      </c>
      <c r="E46" s="1">
        <v>53</v>
      </c>
      <c r="F46" s="1">
        <v>11647667</v>
      </c>
      <c r="G46" s="1" t="s">
        <v>21</v>
      </c>
      <c r="H46" s="1" t="s">
        <v>17</v>
      </c>
      <c r="I46" s="1" t="s">
        <v>12</v>
      </c>
      <c r="J46" s="1" t="s">
        <v>121</v>
      </c>
      <c r="M46" t="s">
        <v>177</v>
      </c>
    </row>
    <row r="47" spans="1:13" hidden="1" x14ac:dyDescent="0.25">
      <c r="A47" s="12" t="s">
        <v>109</v>
      </c>
      <c r="B47" s="12" t="s">
        <v>110</v>
      </c>
      <c r="C47" s="10" t="s">
        <v>10</v>
      </c>
      <c r="D47" s="14">
        <v>41103</v>
      </c>
      <c r="E47" s="10">
        <v>13</v>
      </c>
      <c r="F47" s="10">
        <v>3473998</v>
      </c>
      <c r="G47" s="10" t="s">
        <v>11</v>
      </c>
      <c r="H47" s="10" t="s">
        <v>11</v>
      </c>
      <c r="I47" s="10" t="s">
        <v>12</v>
      </c>
      <c r="J47" s="10" t="s">
        <v>121</v>
      </c>
      <c r="K47" s="8"/>
      <c r="L47" s="8"/>
      <c r="M47" s="8"/>
    </row>
    <row r="48" spans="1:13" x14ac:dyDescent="0.25">
      <c r="A48" s="11" t="s">
        <v>114</v>
      </c>
      <c r="B48" s="11" t="s">
        <v>111</v>
      </c>
      <c r="C48" s="1" t="s">
        <v>13</v>
      </c>
      <c r="D48" s="13">
        <v>31985</v>
      </c>
      <c r="E48" s="1">
        <v>38</v>
      </c>
      <c r="F48" s="1">
        <v>18797736</v>
      </c>
      <c r="G48" s="1" t="s">
        <v>21</v>
      </c>
      <c r="H48" s="1" t="s">
        <v>15</v>
      </c>
      <c r="I48" s="1" t="s">
        <v>12</v>
      </c>
      <c r="J48" s="1" t="s">
        <v>121</v>
      </c>
      <c r="K48">
        <v>4247003354</v>
      </c>
      <c r="M48" t="s">
        <v>177</v>
      </c>
    </row>
    <row r="49" spans="1:13" hidden="1" x14ac:dyDescent="0.25">
      <c r="A49" s="12" t="s">
        <v>109</v>
      </c>
      <c r="B49" s="12" t="s">
        <v>112</v>
      </c>
      <c r="C49" s="10" t="s">
        <v>13</v>
      </c>
      <c r="D49" s="14">
        <v>43683</v>
      </c>
      <c r="E49" s="10">
        <v>6</v>
      </c>
      <c r="F49" s="10" t="s">
        <v>113</v>
      </c>
      <c r="G49" s="10" t="s">
        <v>11</v>
      </c>
      <c r="H49" s="10" t="s">
        <v>11</v>
      </c>
      <c r="I49" s="10" t="s">
        <v>12</v>
      </c>
      <c r="J49" s="10" t="s">
        <v>121</v>
      </c>
      <c r="K49" s="8"/>
      <c r="L49" s="8"/>
      <c r="M49" s="8"/>
    </row>
    <row r="50" spans="1:13" x14ac:dyDescent="0.25">
      <c r="A50" s="11" t="s">
        <v>114</v>
      </c>
      <c r="B50" s="11" t="s">
        <v>111</v>
      </c>
      <c r="C50" s="1" t="s">
        <v>13</v>
      </c>
      <c r="D50" s="13">
        <v>31985</v>
      </c>
      <c r="E50" s="1">
        <v>38</v>
      </c>
      <c r="F50" s="1">
        <v>18797736</v>
      </c>
      <c r="G50" s="1" t="s">
        <v>21</v>
      </c>
      <c r="H50" s="1" t="s">
        <v>15</v>
      </c>
      <c r="I50" s="1" t="s">
        <v>12</v>
      </c>
      <c r="J50" s="1" t="s">
        <v>121</v>
      </c>
      <c r="M50" t="s">
        <v>177</v>
      </c>
    </row>
    <row r="51" spans="1:13" hidden="1" x14ac:dyDescent="0.25">
      <c r="A51" s="12" t="s">
        <v>115</v>
      </c>
      <c r="B51" s="12" t="s">
        <v>116</v>
      </c>
      <c r="C51" s="10" t="s">
        <v>13</v>
      </c>
      <c r="D51" s="14">
        <v>41692</v>
      </c>
      <c r="E51" s="10">
        <v>11</v>
      </c>
      <c r="F51" s="10">
        <v>36439580</v>
      </c>
      <c r="G51" s="10" t="s">
        <v>11</v>
      </c>
      <c r="H51" s="10" t="s">
        <v>11</v>
      </c>
      <c r="I51" s="10" t="s">
        <v>12</v>
      </c>
      <c r="J51" s="10" t="s">
        <v>121</v>
      </c>
      <c r="K51" s="8"/>
      <c r="L51" s="8"/>
      <c r="M51" s="8"/>
    </row>
    <row r="52" spans="1:13" x14ac:dyDescent="0.25">
      <c r="A52" s="11" t="s">
        <v>117</v>
      </c>
      <c r="B52" s="11" t="s">
        <v>118</v>
      </c>
      <c r="C52" s="1" t="s">
        <v>13</v>
      </c>
      <c r="D52" s="13">
        <v>31099</v>
      </c>
      <c r="E52" s="1">
        <v>40</v>
      </c>
      <c r="F52" s="1">
        <v>17663825</v>
      </c>
      <c r="G52" s="1" t="s">
        <v>21</v>
      </c>
      <c r="H52" s="1" t="s">
        <v>15</v>
      </c>
      <c r="I52" s="1" t="s">
        <v>12</v>
      </c>
      <c r="J52" s="1" t="s">
        <v>121</v>
      </c>
      <c r="K52">
        <v>4127646845</v>
      </c>
      <c r="M52" t="s">
        <v>177</v>
      </c>
    </row>
    <row r="53" spans="1:13" hidden="1" x14ac:dyDescent="0.25">
      <c r="A53" s="12" t="s">
        <v>115</v>
      </c>
      <c r="B53" s="12" t="s">
        <v>119</v>
      </c>
      <c r="C53" s="10" t="s">
        <v>13</v>
      </c>
      <c r="D53" s="14">
        <v>43525</v>
      </c>
      <c r="E53" s="10">
        <v>6</v>
      </c>
      <c r="F53" s="10" t="s">
        <v>120</v>
      </c>
      <c r="G53" s="10" t="s">
        <v>11</v>
      </c>
      <c r="H53" s="10" t="s">
        <v>11</v>
      </c>
      <c r="I53" s="10" t="s">
        <v>12</v>
      </c>
      <c r="J53" s="10" t="s">
        <v>121</v>
      </c>
      <c r="K53" s="8"/>
      <c r="L53" s="8"/>
      <c r="M53" s="8"/>
    </row>
    <row r="54" spans="1:13" x14ac:dyDescent="0.25">
      <c r="A54" s="11" t="s">
        <v>117</v>
      </c>
      <c r="B54" s="11" t="s">
        <v>118</v>
      </c>
      <c r="C54" s="1" t="s">
        <v>13</v>
      </c>
      <c r="D54" s="13">
        <v>31099</v>
      </c>
      <c r="E54" s="1">
        <v>40</v>
      </c>
      <c r="F54" s="1">
        <v>17663825</v>
      </c>
      <c r="G54" s="1" t="s">
        <v>21</v>
      </c>
      <c r="H54" s="1" t="s">
        <v>15</v>
      </c>
      <c r="I54" s="1" t="s">
        <v>12</v>
      </c>
      <c r="J54" s="1" t="s">
        <v>121</v>
      </c>
      <c r="K54">
        <v>4127646845</v>
      </c>
      <c r="M54" t="s">
        <v>177</v>
      </c>
    </row>
    <row r="55" spans="1:13" hidden="1" x14ac:dyDescent="0.25">
      <c r="A55" s="12" t="s">
        <v>122</v>
      </c>
      <c r="B55" s="12" t="s">
        <v>123</v>
      </c>
      <c r="C55" s="10" t="s">
        <v>10</v>
      </c>
      <c r="D55" s="14">
        <v>39859</v>
      </c>
      <c r="E55" s="10">
        <v>16</v>
      </c>
      <c r="F55" s="10">
        <v>33449403</v>
      </c>
      <c r="G55" s="10" t="s">
        <v>11</v>
      </c>
      <c r="H55" s="10" t="s">
        <v>11</v>
      </c>
      <c r="I55" s="10" t="s">
        <v>12</v>
      </c>
      <c r="J55" s="10" t="s">
        <v>121</v>
      </c>
      <c r="K55" s="8"/>
      <c r="L55" s="8"/>
      <c r="M55" s="8"/>
    </row>
    <row r="56" spans="1:13" x14ac:dyDescent="0.25">
      <c r="A56" s="11" t="s">
        <v>125</v>
      </c>
      <c r="B56" s="11" t="s">
        <v>124</v>
      </c>
      <c r="C56" s="1" t="s">
        <v>10</v>
      </c>
      <c r="D56" s="13">
        <v>28924</v>
      </c>
      <c r="E56" s="1">
        <v>46</v>
      </c>
      <c r="F56" s="1">
        <v>14588691</v>
      </c>
      <c r="G56" s="1" t="s">
        <v>21</v>
      </c>
      <c r="H56" s="1" t="s">
        <v>17</v>
      </c>
      <c r="I56" s="1" t="s">
        <v>14</v>
      </c>
      <c r="J56" s="1" t="s">
        <v>121</v>
      </c>
      <c r="K56">
        <v>4149718443</v>
      </c>
      <c r="M56" t="s">
        <v>177</v>
      </c>
    </row>
    <row r="57" spans="1:13" hidden="1" x14ac:dyDescent="0.25">
      <c r="A57" s="12" t="s">
        <v>126</v>
      </c>
      <c r="B57" s="12" t="s">
        <v>127</v>
      </c>
      <c r="C57" s="10" t="s">
        <v>10</v>
      </c>
      <c r="D57" s="14">
        <v>43728</v>
      </c>
      <c r="E57" s="10">
        <v>7</v>
      </c>
      <c r="F57" s="8" t="s">
        <v>128</v>
      </c>
      <c r="G57" s="10" t="s">
        <v>11</v>
      </c>
      <c r="H57" s="10" t="s">
        <v>11</v>
      </c>
      <c r="I57" s="10" t="s">
        <v>12</v>
      </c>
      <c r="J57" s="10" t="s">
        <v>121</v>
      </c>
      <c r="K57" s="8"/>
      <c r="L57" s="8"/>
      <c r="M57" s="8"/>
    </row>
    <row r="58" spans="1:13" x14ac:dyDescent="0.25">
      <c r="A58" s="11" t="s">
        <v>129</v>
      </c>
      <c r="B58" s="11" t="s">
        <v>130</v>
      </c>
      <c r="C58" s="1" t="s">
        <v>13</v>
      </c>
      <c r="D58" s="13">
        <v>30331</v>
      </c>
      <c r="E58" s="1">
        <v>42</v>
      </c>
      <c r="F58" s="1">
        <v>15920698</v>
      </c>
      <c r="G58" s="1" t="s">
        <v>21</v>
      </c>
      <c r="H58" s="1" t="s">
        <v>15</v>
      </c>
      <c r="I58" s="1" t="s">
        <v>12</v>
      </c>
      <c r="J58" s="1" t="s">
        <v>121</v>
      </c>
      <c r="M58" t="s">
        <v>177</v>
      </c>
    </row>
    <row r="59" spans="1:13" hidden="1" x14ac:dyDescent="0.25">
      <c r="A59" s="12" t="s">
        <v>131</v>
      </c>
      <c r="B59" s="12" t="s">
        <v>132</v>
      </c>
      <c r="C59" s="10" t="s">
        <v>10</v>
      </c>
      <c r="D59" s="14">
        <v>41873</v>
      </c>
      <c r="E59" s="10">
        <v>11</v>
      </c>
      <c r="F59" s="10">
        <v>36157646</v>
      </c>
      <c r="G59" s="10" t="s">
        <v>11</v>
      </c>
      <c r="H59" s="10" t="s">
        <v>11</v>
      </c>
      <c r="I59" s="10" t="s">
        <v>12</v>
      </c>
      <c r="J59" s="10" t="s">
        <v>121</v>
      </c>
      <c r="K59" s="8"/>
      <c r="L59" s="8"/>
      <c r="M59" s="8"/>
    </row>
    <row r="60" spans="1:13" x14ac:dyDescent="0.25">
      <c r="A60" s="11" t="s">
        <v>133</v>
      </c>
      <c r="B60" s="11" t="s">
        <v>134</v>
      </c>
      <c r="C60" s="1" t="s">
        <v>13</v>
      </c>
      <c r="D60" s="13">
        <v>27622</v>
      </c>
      <c r="E60" s="1">
        <v>50</v>
      </c>
      <c r="F60" s="1">
        <v>13577495</v>
      </c>
      <c r="G60" s="1" t="s">
        <v>21</v>
      </c>
      <c r="H60" s="1" t="s">
        <v>15</v>
      </c>
      <c r="I60" s="1" t="s">
        <v>14</v>
      </c>
      <c r="J60" s="1" t="s">
        <v>121</v>
      </c>
      <c r="K60">
        <v>4121320214</v>
      </c>
      <c r="M60" t="s">
        <v>177</v>
      </c>
    </row>
    <row r="61" spans="1:13" x14ac:dyDescent="0.25">
      <c r="A61" s="11" t="s">
        <v>135</v>
      </c>
      <c r="B61" s="11" t="s">
        <v>136</v>
      </c>
      <c r="C61" s="1" t="s">
        <v>10</v>
      </c>
      <c r="D61" s="13">
        <v>29640</v>
      </c>
      <c r="E61" s="1">
        <v>44</v>
      </c>
      <c r="F61" s="1">
        <v>17523745</v>
      </c>
      <c r="G61" s="1" t="s">
        <v>21</v>
      </c>
      <c r="H61" s="1" t="s">
        <v>17</v>
      </c>
      <c r="I61" s="1" t="s">
        <v>14</v>
      </c>
      <c r="J61" s="1" t="s">
        <v>121</v>
      </c>
      <c r="M61" t="s">
        <v>177</v>
      </c>
    </row>
    <row r="62" spans="1:13" hidden="1" x14ac:dyDescent="0.25">
      <c r="A62" s="12" t="s">
        <v>137</v>
      </c>
      <c r="B62" s="12" t="s">
        <v>138</v>
      </c>
      <c r="C62" s="10" t="s">
        <v>13</v>
      </c>
      <c r="D62" s="14">
        <v>41611</v>
      </c>
      <c r="E62" s="10">
        <v>12</v>
      </c>
      <c r="F62" s="10">
        <v>36018027</v>
      </c>
      <c r="G62" s="10" t="s">
        <v>11</v>
      </c>
      <c r="H62" s="10" t="s">
        <v>11</v>
      </c>
      <c r="I62" s="10" t="s">
        <v>12</v>
      </c>
      <c r="J62" s="10" t="s">
        <v>121</v>
      </c>
      <c r="K62" s="8"/>
      <c r="L62" s="8"/>
      <c r="M62" s="8"/>
    </row>
    <row r="63" spans="1:13" x14ac:dyDescent="0.25">
      <c r="A63" s="11" t="s">
        <v>139</v>
      </c>
      <c r="B63" s="11" t="s">
        <v>140</v>
      </c>
      <c r="C63" s="1" t="s">
        <v>13</v>
      </c>
      <c r="D63" s="13">
        <v>33251</v>
      </c>
      <c r="E63" s="1">
        <v>34</v>
      </c>
      <c r="F63" s="1">
        <v>21331795</v>
      </c>
      <c r="G63" s="1" t="s">
        <v>21</v>
      </c>
      <c r="H63" s="1" t="s">
        <v>15</v>
      </c>
      <c r="I63" s="1" t="s">
        <v>12</v>
      </c>
      <c r="J63" s="1" t="s">
        <v>121</v>
      </c>
      <c r="K63">
        <v>4149769878</v>
      </c>
      <c r="M63" t="s">
        <v>177</v>
      </c>
    </row>
    <row r="64" spans="1:13" hidden="1" x14ac:dyDescent="0.25">
      <c r="A64" s="12" t="s">
        <v>141</v>
      </c>
      <c r="B64" s="12" t="s">
        <v>142</v>
      </c>
      <c r="C64" s="10" t="s">
        <v>10</v>
      </c>
      <c r="D64" s="14">
        <v>41352</v>
      </c>
      <c r="E64" s="10">
        <v>12</v>
      </c>
      <c r="F64" s="10">
        <v>36104506</v>
      </c>
      <c r="G64" s="10" t="s">
        <v>11</v>
      </c>
      <c r="H64" s="10" t="s">
        <v>11</v>
      </c>
      <c r="I64" s="10" t="s">
        <v>12</v>
      </c>
      <c r="J64" s="10" t="s">
        <v>121</v>
      </c>
      <c r="K64" s="8"/>
      <c r="L64" s="8"/>
      <c r="M64" s="8"/>
    </row>
    <row r="65" spans="1:13" x14ac:dyDescent="0.25">
      <c r="A65" s="11" t="s">
        <v>146</v>
      </c>
      <c r="B65" s="11" t="s">
        <v>143</v>
      </c>
      <c r="C65" s="1" t="s">
        <v>13</v>
      </c>
      <c r="D65" s="13">
        <v>32077</v>
      </c>
      <c r="E65" s="1">
        <v>38</v>
      </c>
      <c r="F65" s="1">
        <v>18796655</v>
      </c>
      <c r="G65" s="1" t="s">
        <v>21</v>
      </c>
      <c r="H65" s="1" t="s">
        <v>15</v>
      </c>
      <c r="I65" s="1" t="s">
        <v>12</v>
      </c>
      <c r="J65" s="1" t="s">
        <v>121</v>
      </c>
      <c r="K65">
        <v>4247270696</v>
      </c>
      <c r="M65" t="s">
        <v>177</v>
      </c>
    </row>
    <row r="66" spans="1:13" x14ac:dyDescent="0.25">
      <c r="A66" s="11" t="s">
        <v>144</v>
      </c>
      <c r="B66" s="11" t="s">
        <v>145</v>
      </c>
      <c r="C66" s="1" t="s">
        <v>10</v>
      </c>
      <c r="D66" s="13">
        <v>30400</v>
      </c>
      <c r="E66" s="1">
        <v>42</v>
      </c>
      <c r="F66" s="1">
        <v>16655209</v>
      </c>
      <c r="G66" s="1" t="s">
        <v>21</v>
      </c>
      <c r="H66" s="1" t="s">
        <v>17</v>
      </c>
      <c r="I66" s="1" t="s">
        <v>12</v>
      </c>
      <c r="J66" s="1" t="s">
        <v>121</v>
      </c>
      <c r="M66" t="s">
        <v>177</v>
      </c>
    </row>
    <row r="67" spans="1:13" hidden="1" x14ac:dyDescent="0.25">
      <c r="A67" s="12" t="s">
        <v>147</v>
      </c>
      <c r="B67" s="12" t="s">
        <v>148</v>
      </c>
      <c r="C67" s="10" t="s">
        <v>10</v>
      </c>
      <c r="D67" s="14">
        <v>41185</v>
      </c>
      <c r="E67" s="10">
        <v>13</v>
      </c>
      <c r="F67" s="10">
        <v>34545463</v>
      </c>
      <c r="G67" s="10" t="s">
        <v>11</v>
      </c>
      <c r="H67" s="10" t="s">
        <v>11</v>
      </c>
      <c r="I67" s="10" t="s">
        <v>12</v>
      </c>
      <c r="J67" s="10" t="s">
        <v>121</v>
      </c>
      <c r="K67" s="8"/>
      <c r="L67" s="8"/>
      <c r="M67" s="8"/>
    </row>
    <row r="68" spans="1:13" x14ac:dyDescent="0.25">
      <c r="A68" s="11" t="s">
        <v>149</v>
      </c>
      <c r="B68" s="11" t="s">
        <v>151</v>
      </c>
      <c r="C68" s="1" t="s">
        <v>13</v>
      </c>
      <c r="D68" s="13">
        <v>30928</v>
      </c>
      <c r="E68" s="1">
        <v>41</v>
      </c>
      <c r="F68" s="1">
        <v>16908067</v>
      </c>
      <c r="G68" s="1" t="s">
        <v>21</v>
      </c>
      <c r="H68" s="1" t="s">
        <v>15</v>
      </c>
      <c r="I68" s="1" t="s">
        <v>12</v>
      </c>
      <c r="J68" s="1" t="s">
        <v>121</v>
      </c>
      <c r="K68">
        <v>4125362427</v>
      </c>
      <c r="M68" t="s">
        <v>177</v>
      </c>
    </row>
    <row r="69" spans="1:13" x14ac:dyDescent="0.25">
      <c r="A69" s="11" t="s">
        <v>150</v>
      </c>
      <c r="B69" s="11" t="s">
        <v>152</v>
      </c>
      <c r="C69" s="1" t="s">
        <v>10</v>
      </c>
      <c r="D69" s="13">
        <v>28952</v>
      </c>
      <c r="E69" s="1">
        <v>46</v>
      </c>
      <c r="F69" s="1">
        <v>15621748</v>
      </c>
      <c r="G69" s="1" t="s">
        <v>21</v>
      </c>
      <c r="H69" s="1" t="s">
        <v>17</v>
      </c>
      <c r="I69" s="1" t="s">
        <v>153</v>
      </c>
      <c r="J69" s="1" t="s">
        <v>121</v>
      </c>
      <c r="M69" t="s">
        <v>177</v>
      </c>
    </row>
    <row r="70" spans="1:13" hidden="1" x14ac:dyDescent="0.25">
      <c r="A70" s="12" t="s">
        <v>154</v>
      </c>
      <c r="B70" s="12" t="s">
        <v>155</v>
      </c>
      <c r="C70" s="10" t="s">
        <v>10</v>
      </c>
      <c r="D70" s="14">
        <v>42571</v>
      </c>
      <c r="E70" s="10">
        <v>9</v>
      </c>
      <c r="F70" s="10" t="s">
        <v>156</v>
      </c>
      <c r="G70" s="10" t="s">
        <v>11</v>
      </c>
      <c r="H70" s="10" t="s">
        <v>11</v>
      </c>
      <c r="I70" s="10" t="s">
        <v>12</v>
      </c>
      <c r="J70" s="10" t="s">
        <v>121</v>
      </c>
      <c r="K70" s="8"/>
      <c r="L70" s="8"/>
      <c r="M70" s="8"/>
    </row>
    <row r="71" spans="1:13" x14ac:dyDescent="0.25">
      <c r="A71" s="11" t="s">
        <v>149</v>
      </c>
      <c r="B71" s="11" t="s">
        <v>151</v>
      </c>
      <c r="C71" s="1" t="s">
        <v>13</v>
      </c>
      <c r="D71" s="13">
        <v>30928</v>
      </c>
      <c r="E71" s="1">
        <v>41</v>
      </c>
      <c r="F71" s="1">
        <v>16908067</v>
      </c>
      <c r="G71" s="1" t="s">
        <v>21</v>
      </c>
      <c r="H71" s="1" t="s">
        <v>15</v>
      </c>
      <c r="I71" s="1" t="s">
        <v>12</v>
      </c>
      <c r="J71" s="1" t="s">
        <v>121</v>
      </c>
      <c r="K71">
        <v>4125362427</v>
      </c>
      <c r="M71" t="s">
        <v>177</v>
      </c>
    </row>
    <row r="72" spans="1:13" x14ac:dyDescent="0.25">
      <c r="A72" s="11" t="s">
        <v>150</v>
      </c>
      <c r="B72" s="11" t="s">
        <v>152</v>
      </c>
      <c r="C72" s="1" t="s">
        <v>10</v>
      </c>
      <c r="D72" s="13">
        <v>28952</v>
      </c>
      <c r="E72" s="1">
        <v>46</v>
      </c>
      <c r="F72" s="1">
        <v>15621748</v>
      </c>
      <c r="G72" s="1" t="s">
        <v>21</v>
      </c>
      <c r="H72" s="1" t="s">
        <v>17</v>
      </c>
      <c r="I72" s="1" t="s">
        <v>153</v>
      </c>
      <c r="J72" s="1" t="s">
        <v>121</v>
      </c>
      <c r="M72" t="s">
        <v>177</v>
      </c>
    </row>
    <row r="73" spans="1:13" hidden="1" x14ac:dyDescent="0.25">
      <c r="A73" s="12" t="s">
        <v>157</v>
      </c>
      <c r="B73" s="12" t="s">
        <v>158</v>
      </c>
      <c r="C73" s="10" t="s">
        <v>13</v>
      </c>
      <c r="D73" s="14">
        <v>40975</v>
      </c>
      <c r="E73" s="10">
        <v>13</v>
      </c>
      <c r="F73" s="10">
        <v>34225758</v>
      </c>
      <c r="G73" s="10" t="s">
        <v>11</v>
      </c>
      <c r="H73" s="10" t="s">
        <v>11</v>
      </c>
      <c r="I73" s="10" t="s">
        <v>12</v>
      </c>
      <c r="J73" s="10" t="s">
        <v>121</v>
      </c>
      <c r="K73" s="8"/>
      <c r="L73" s="8"/>
      <c r="M73" s="8"/>
    </row>
    <row r="74" spans="1:13" x14ac:dyDescent="0.25">
      <c r="A74" s="4" t="s">
        <v>159</v>
      </c>
      <c r="B74" s="11" t="s">
        <v>160</v>
      </c>
      <c r="C74" s="1" t="s">
        <v>13</v>
      </c>
      <c r="D74" s="13">
        <v>29873</v>
      </c>
      <c r="E74" s="1">
        <v>44</v>
      </c>
      <c r="F74" s="1">
        <v>14805683</v>
      </c>
      <c r="G74" s="1" t="s">
        <v>21</v>
      </c>
      <c r="H74" s="1" t="s">
        <v>15</v>
      </c>
      <c r="I74" s="1" t="s">
        <v>12</v>
      </c>
      <c r="J74" s="1" t="s">
        <v>121</v>
      </c>
      <c r="K74">
        <v>4145320238</v>
      </c>
      <c r="M74" t="s">
        <v>177</v>
      </c>
    </row>
    <row r="75" spans="1:13" x14ac:dyDescent="0.25">
      <c r="A75" s="11" t="s">
        <v>161</v>
      </c>
      <c r="B75" s="11" t="s">
        <v>162</v>
      </c>
      <c r="C75" s="1" t="s">
        <v>10</v>
      </c>
      <c r="D75" s="13">
        <v>28064</v>
      </c>
      <c r="E75" s="1">
        <v>49</v>
      </c>
      <c r="F75" s="1">
        <v>12353458</v>
      </c>
      <c r="G75" s="1" t="s">
        <v>21</v>
      </c>
      <c r="H75" s="1" t="s">
        <v>17</v>
      </c>
      <c r="I75" s="1" t="s">
        <v>12</v>
      </c>
      <c r="J75" s="1" t="s">
        <v>121</v>
      </c>
      <c r="M75" t="s">
        <v>177</v>
      </c>
    </row>
    <row r="76" spans="1:13" hidden="1" x14ac:dyDescent="0.25">
      <c r="A76" s="12" t="s">
        <v>163</v>
      </c>
      <c r="B76" s="12" t="s">
        <v>164</v>
      </c>
      <c r="C76" s="10" t="s">
        <v>13</v>
      </c>
      <c r="D76" s="14">
        <v>43778</v>
      </c>
      <c r="E76" s="10">
        <v>6</v>
      </c>
      <c r="F76" s="10" t="s">
        <v>165</v>
      </c>
      <c r="G76" s="10" t="s">
        <v>11</v>
      </c>
      <c r="H76" s="10" t="s">
        <v>11</v>
      </c>
      <c r="I76" s="10" t="s">
        <v>12</v>
      </c>
      <c r="J76" s="10" t="s">
        <v>121</v>
      </c>
      <c r="K76" s="8"/>
      <c r="L76" s="8"/>
      <c r="M76" s="8"/>
    </row>
    <row r="77" spans="1:13" x14ac:dyDescent="0.25">
      <c r="A77" s="11" t="s">
        <v>166</v>
      </c>
      <c r="B77" s="11" t="s">
        <v>167</v>
      </c>
      <c r="C77" s="1" t="s">
        <v>13</v>
      </c>
      <c r="D77" s="13">
        <v>34218</v>
      </c>
      <c r="E77" s="1">
        <v>32</v>
      </c>
      <c r="F77" s="1">
        <v>20832284</v>
      </c>
      <c r="G77" s="1" t="s">
        <v>21</v>
      </c>
      <c r="H77" s="1" t="s">
        <v>15</v>
      </c>
      <c r="I77" s="1" t="s">
        <v>14</v>
      </c>
      <c r="J77" s="1" t="s">
        <v>121</v>
      </c>
      <c r="K77">
        <v>424723352</v>
      </c>
      <c r="M77" t="s">
        <v>177</v>
      </c>
    </row>
    <row r="78" spans="1:13" x14ac:dyDescent="0.25">
      <c r="A78" s="11" t="s">
        <v>168</v>
      </c>
      <c r="B78" s="11" t="s">
        <v>169</v>
      </c>
      <c r="C78" s="1" t="s">
        <v>10</v>
      </c>
      <c r="D78" s="13">
        <v>35180</v>
      </c>
      <c r="E78" s="1">
        <v>29</v>
      </c>
      <c r="F78" s="1">
        <v>24198262</v>
      </c>
      <c r="G78" s="1" t="s">
        <v>21</v>
      </c>
      <c r="H78" s="1" t="s">
        <v>17</v>
      </c>
      <c r="I78" s="1" t="s">
        <v>14</v>
      </c>
      <c r="J78" s="1" t="s">
        <v>121</v>
      </c>
      <c r="M78" t="s">
        <v>177</v>
      </c>
    </row>
    <row r="79" spans="1:13" hidden="1" x14ac:dyDescent="0.25">
      <c r="A79" s="15" t="s">
        <v>170</v>
      </c>
      <c r="B79" s="15" t="s">
        <v>171</v>
      </c>
      <c r="C79" s="17" t="s">
        <v>10</v>
      </c>
      <c r="D79" s="3">
        <v>43396</v>
      </c>
      <c r="E79" s="17">
        <v>7</v>
      </c>
      <c r="F79" s="17" t="s">
        <v>172</v>
      </c>
      <c r="G79" s="17" t="s">
        <v>11</v>
      </c>
      <c r="H79" s="10" t="s">
        <v>11</v>
      </c>
      <c r="I79" s="17" t="s">
        <v>12</v>
      </c>
      <c r="J79" s="17" t="s">
        <v>121</v>
      </c>
      <c r="K79" s="8"/>
      <c r="L79" s="8"/>
      <c r="M79" s="8"/>
    </row>
    <row r="80" spans="1:13" x14ac:dyDescent="0.25">
      <c r="A80" s="16" t="s">
        <v>173</v>
      </c>
      <c r="B80" s="16" t="s">
        <v>174</v>
      </c>
      <c r="C80" s="18" t="s">
        <v>13</v>
      </c>
      <c r="D80" s="5">
        <v>33852</v>
      </c>
      <c r="E80" s="18">
        <v>33</v>
      </c>
      <c r="F80" s="18">
        <v>22655690</v>
      </c>
      <c r="G80" s="18" t="s">
        <v>21</v>
      </c>
      <c r="H80" s="1" t="s">
        <v>15</v>
      </c>
      <c r="I80" s="18" t="s">
        <v>12</v>
      </c>
      <c r="J80" s="18" t="s">
        <v>121</v>
      </c>
      <c r="K80">
        <v>4149712148</v>
      </c>
      <c r="M80" t="s">
        <v>177</v>
      </c>
    </row>
    <row r="81" spans="1:13" x14ac:dyDescent="0.25">
      <c r="A81" s="16" t="s">
        <v>175</v>
      </c>
      <c r="B81" s="16" t="s">
        <v>176</v>
      </c>
      <c r="C81" s="18" t="s">
        <v>10</v>
      </c>
      <c r="D81" s="5">
        <v>34671</v>
      </c>
      <c r="E81" s="18">
        <v>31</v>
      </c>
      <c r="F81" s="18">
        <v>23721277</v>
      </c>
      <c r="G81" s="1" t="s">
        <v>21</v>
      </c>
      <c r="H81" s="1" t="s">
        <v>17</v>
      </c>
      <c r="I81" s="18" t="s">
        <v>12</v>
      </c>
      <c r="J81" s="18" t="s">
        <v>121</v>
      </c>
      <c r="M81" t="s">
        <v>177</v>
      </c>
    </row>
    <row r="82" spans="1:13" x14ac:dyDescent="0.25">
      <c r="A82" s="4"/>
      <c r="B82" s="4"/>
      <c r="C82" s="1"/>
      <c r="D82" s="13"/>
      <c r="E82" s="1"/>
      <c r="F82" s="1"/>
      <c r="G82" s="1"/>
      <c r="H82" s="1"/>
      <c r="I82" s="1"/>
      <c r="J82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31-10-25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Daniel</cp:lastModifiedBy>
  <cp:lastPrinted>2025-04-10T13:28:20Z</cp:lastPrinted>
  <dcterms:created xsi:type="dcterms:W3CDTF">2025-02-27T02:31:19Z</dcterms:created>
  <dcterms:modified xsi:type="dcterms:W3CDTF">2025-11-23T18:43:54Z</dcterms:modified>
</cp:coreProperties>
</file>