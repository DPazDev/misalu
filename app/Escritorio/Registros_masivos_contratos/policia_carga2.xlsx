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l\Varios\Vbox cosas\misalu\app\Escritorio\Registros_masivos_contratos\"/>
    </mc:Choice>
  </mc:AlternateContent>
  <xr:revisionPtr revIDLastSave="0" documentId="13_ncr:1_{B29D7CA3-AFBB-41EB-95E0-4CEA0BA5A6F9}" xr6:coauthVersionLast="47" xr6:coauthVersionMax="47" xr10:uidLastSave="{00000000-0000-0000-0000-000000000000}"/>
  <bookViews>
    <workbookView xWindow="-120" yWindow="-120" windowWidth="29040" windowHeight="15720" tabRatio="500" xr2:uid="{19793B8F-3900-461F-9665-DD3DDA870A09}"/>
  </bookViews>
  <sheets>
    <sheet name="MLAM-TM" sheetId="1" r:id="rId1"/>
  </sheets>
  <definedNames>
    <definedName name="_xlnm._FilterDatabase" localSheetId="0" hidden="1">#N/A</definedName>
    <definedName name="_xlnm.Print_Area" localSheetId="0">#N/A</definedName>
    <definedName name="Excel_BuiltIn__FilterDatabase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3" i="1"/>
  <c r="E4" i="1"/>
  <c r="E2" i="1"/>
</calcChain>
</file>

<file path=xl/sharedStrings.xml><?xml version="1.0" encoding="utf-8"?>
<sst xmlns="http://schemas.openxmlformats.org/spreadsheetml/2006/main" count="119" uniqueCount="58">
  <si>
    <t>Apellido</t>
  </si>
  <si>
    <t>Nombre</t>
  </si>
  <si>
    <t>Genero</t>
  </si>
  <si>
    <t>Fecha de Nacimiento</t>
  </si>
  <si>
    <t>EDAD</t>
  </si>
  <si>
    <t>Cedula</t>
  </si>
  <si>
    <t>Beneficiario / Titular</t>
  </si>
  <si>
    <t>Parentesco</t>
  </si>
  <si>
    <t>Estado Civil</t>
  </si>
  <si>
    <t>Dirección de Habitación</t>
  </si>
  <si>
    <t>Tlf Móvil</t>
  </si>
  <si>
    <t>F</t>
  </si>
  <si>
    <t>TITULAR</t>
  </si>
  <si>
    <t>S</t>
  </si>
  <si>
    <t>M</t>
  </si>
  <si>
    <t>MADRE</t>
  </si>
  <si>
    <t>BENEFICIARIO</t>
  </si>
  <si>
    <t>HIJA</t>
  </si>
  <si>
    <t>HERNANDEZ ZAMBRANO</t>
  </si>
  <si>
    <t>NANCY COROMOTO</t>
  </si>
  <si>
    <t>LOS CUROS PARTE ALTA, SECTOR SAN VICENTE</t>
  </si>
  <si>
    <t>0424-7337264</t>
  </si>
  <si>
    <t>FIGUEREDO SANCHEZ</t>
  </si>
  <si>
    <t>OSWALDO</t>
  </si>
  <si>
    <t>FIGUEREDO HERNANDEZ</t>
  </si>
  <si>
    <t xml:space="preserve">MARIANGEL </t>
  </si>
  <si>
    <t>ANGULO FIGUEREDO</t>
  </si>
  <si>
    <t>MATEO ANDRES</t>
  </si>
  <si>
    <t>12346321-1</t>
  </si>
  <si>
    <t xml:space="preserve">NIETO </t>
  </si>
  <si>
    <t xml:space="preserve">LANTEN SUAREZ </t>
  </si>
  <si>
    <t xml:space="preserve">EDGARDO ANTONIO </t>
  </si>
  <si>
    <t>EJIDO CALLE RONDON CASA N°23. DIAGONAL AL EDIFICIO TINAJERO</t>
  </si>
  <si>
    <t>0412-1595848</t>
  </si>
  <si>
    <t xml:space="preserve">HERNANDEZ TORO </t>
  </si>
  <si>
    <t>MARIA AUXILIADORA</t>
  </si>
  <si>
    <t>LANTEN HERNANDEZ</t>
  </si>
  <si>
    <t>BRITNEY ROSMARY</t>
  </si>
  <si>
    <t>SUAREZ PINEDA</t>
  </si>
  <si>
    <t>ANA BERTILDA</t>
  </si>
  <si>
    <t>D</t>
  </si>
  <si>
    <t>LIAM MATHIAS</t>
  </si>
  <si>
    <t>15032719-1</t>
  </si>
  <si>
    <t xml:space="preserve">ORELLANA VILLEGAS </t>
  </si>
  <si>
    <t xml:space="preserve">FREDDY RAMON </t>
  </si>
  <si>
    <t xml:space="preserve">LAS VIRTUDES CALLE LA INDEPENDENCIA MUNICIPIO TULIO FEBRES CORDERO </t>
  </si>
  <si>
    <t>0424-7763213</t>
  </si>
  <si>
    <t xml:space="preserve">RIVAS SALCEDO </t>
  </si>
  <si>
    <t xml:space="preserve">FANNY COROMOTO </t>
  </si>
  <si>
    <t>ORELLANA RIVAS</t>
  </si>
  <si>
    <t xml:space="preserve"> FREYDES JOSE</t>
  </si>
  <si>
    <t>HIJO</t>
  </si>
  <si>
    <t xml:space="preserve">VILLEGAS </t>
  </si>
  <si>
    <t>MARIA UFELIA</t>
  </si>
  <si>
    <t>Email</t>
  </si>
  <si>
    <t>Comentario</t>
  </si>
  <si>
    <t>CONYUGUE FEMENINO SIN MATERNIDAD</t>
  </si>
  <si>
    <t>CONYUGUE 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</si>
</sst>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 * #,##0.00_ ;_ * \-#,##0.00_ ;_ * \-??_ ;_ @_ "/>
    <numFmt numFmtId="166" formatCode="_(&quot;Bs &quot;* #,##0.00_);_(&quot;Bs &quot;* \(#,##0.00\);_(&quot;Bs &quot;* \-??_);_(@_)"/>
    <numFmt numFmtId="167" formatCode="_-* #,##0.00\ _€_-;\-* #,##0.00\ _€_-;_-* \-??\ _€_-;_-@_-"/>
    <numFmt numFmtId="168" formatCode="dd/mm/yyyy;@"/>
  </numFmts>
  <fonts count="9" x14ac:knownFonts="1"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sz val="10"/>
      <color indexed="9"/>
      <name val="Calibri"/>
      <family val="2"/>
    </font>
    <font>
      <sz val="9"/>
      <color indexed="26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0"/>
      <color indexed="9"/>
      <name val="Calibri"/>
      <family val="2"/>
    </font>
    <font>
      <b/>
      <sz val="10"/>
      <color indexed="2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23"/>
        <bgColor indexed="55"/>
      </patternFill>
    </fill>
    <fill>
      <patternFill patternType="solid">
        <fgColor theme="0"/>
        <b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26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theme="4" tint="0.399975585192419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4" tint="0.39997558519241921"/>
      </bottom>
      <diagonal/>
    </border>
  </borders>
  <cellStyleXfs count="76">
    <xf numFmtId="0" fontId="0" fillId="0" borderId="0"/>
    <xf numFmtId="164" fontId="1" fillId="0" borderId="0" applyFill="0" applyBorder="0" applyAlignment="0"/>
    <xf numFmtId="0" fontId="1" fillId="0" borderId="0"/>
    <xf numFmtId="0" fontId="1" fillId="0" borderId="0"/>
    <xf numFmtId="165" fontId="1" fillId="0" borderId="0" applyFill="0" applyBorder="0" applyAlignment="0" applyProtection="0"/>
    <xf numFmtId="0" fontId="2" fillId="0" borderId="0" applyNumberFormat="0" applyFill="0" applyBorder="0" applyAlignment="0" applyProtection="0"/>
    <xf numFmtId="164" fontId="2" fillId="0" borderId="0" applyFill="0" applyBorder="0" applyAlignment="0" applyProtection="0"/>
    <xf numFmtId="164" fontId="5" fillId="0" borderId="0" applyFill="0" applyBorder="0" applyAlignment="0" applyProtection="0"/>
    <xf numFmtId="165" fontId="1" fillId="0" borderId="0" applyFill="0" applyBorder="0" applyAlignment="0" applyProtection="0"/>
    <xf numFmtId="165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5" fillId="0" borderId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0" fontId="5" fillId="0" borderId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0" fontId="1" fillId="0" borderId="0"/>
    <xf numFmtId="0" fontId="5" fillId="0" borderId="0"/>
    <xf numFmtId="0" fontId="5" fillId="0" borderId="0" applyFill="0" applyProtection="0"/>
    <xf numFmtId="0" fontId="5" fillId="0" borderId="0" applyFill="0" applyProtection="0"/>
    <xf numFmtId="0" fontId="5" fillId="0" borderId="0" applyFill="0" applyProtection="0"/>
    <xf numFmtId="0" fontId="5" fillId="0" borderId="0" applyFill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164" fontId="1" fillId="0" borderId="0"/>
    <xf numFmtId="164" fontId="1" fillId="0" borderId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0" fontId="1" fillId="0" borderId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6" fontId="1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0" fontId="5" fillId="0" borderId="0"/>
    <xf numFmtId="0" fontId="5" fillId="0" borderId="0"/>
    <xf numFmtId="164" fontId="5" fillId="0" borderId="0" applyFill="0" applyBorder="0" applyAlignment="0" applyProtection="0"/>
    <xf numFmtId="0" fontId="1" fillId="0" borderId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0" fontId="1" fillId="0" borderId="0"/>
    <xf numFmtId="167" fontId="1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0" fontId="1" fillId="0" borderId="0"/>
    <xf numFmtId="164" fontId="5" fillId="0" borderId="0" applyFill="0" applyBorder="0" applyAlignment="0" applyProtection="0"/>
    <xf numFmtId="0" fontId="1" fillId="0" borderId="0"/>
    <xf numFmtId="0" fontId="5" fillId="0" borderId="0"/>
    <xf numFmtId="0" fontId="1" fillId="0" borderId="0"/>
    <xf numFmtId="0" fontId="5" fillId="2" borderId="1" applyNumberFormat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8" fontId="4" fillId="3" borderId="2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168" fontId="0" fillId="6" borderId="0" xfId="0" applyNumberFormat="1" applyFill="1" applyAlignment="1">
      <alignment horizontal="center" vertical="center"/>
    </xf>
    <xf numFmtId="0" fontId="0" fillId="6" borderId="0" xfId="0" applyFill="1"/>
    <xf numFmtId="0" fontId="7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</cellXfs>
  <cellStyles count="76">
    <cellStyle name="1" xfId="1" xr:uid="{C9E6D0EC-5F84-4835-8069-0E1A20A8F929}"/>
    <cellStyle name="Diseño" xfId="2" xr:uid="{1C22DD23-A797-4F20-8075-FF92011DC92B}"/>
    <cellStyle name="Diseño 2" xfId="3" xr:uid="{27B65A7C-7EB0-4760-9FCB-2B12015D7A2A}"/>
    <cellStyle name="Estilo 1 2" xfId="4" xr:uid="{31EFAF98-6114-4F71-8EEA-B83C761A70D8}"/>
    <cellStyle name="Hipervínculo 2" xfId="5" xr:uid="{84AFA9BF-BC65-4CBD-9C61-5CE8F504ED1D}"/>
    <cellStyle name="Hipervínculo 2 2" xfId="6" xr:uid="{51D30FB9-B4C8-4EED-B7EE-7DF06CDAD5A8}"/>
    <cellStyle name="Millares 2" xfId="7" xr:uid="{2280EDD3-9D7C-4977-8C6A-55B577BB7081}"/>
    <cellStyle name="Millares 2 2" xfId="8" xr:uid="{5E0B4EB1-0DBE-43B7-8344-3A560E63C188}"/>
    <cellStyle name="Millares 2 3" xfId="9" xr:uid="{5BB01B6C-4C31-49AC-813D-7A3D79C47F82}"/>
    <cellStyle name="Millares 2 4" xfId="10" xr:uid="{F7A78E72-7379-4773-B384-842FD1E0F02D}"/>
    <cellStyle name="Millares 2 5" xfId="11" xr:uid="{0021F055-23F5-4C56-B871-EE91A8D5FE5B}"/>
    <cellStyle name="Millares 2 6" xfId="12" xr:uid="{06F302F5-FD87-4003-BE90-4C3AED9CE3CD}"/>
    <cellStyle name="Normal" xfId="0" builtinId="0"/>
    <cellStyle name="Normal 10" xfId="13" xr:uid="{8F6F9FAF-8ABF-4FF4-BB62-72B5D59063B2}"/>
    <cellStyle name="Normal 10 2" xfId="14" xr:uid="{21E7F75C-8BFB-4737-B3E3-02EE4E33065F}"/>
    <cellStyle name="Normal 11" xfId="15" xr:uid="{F2A7C3D6-42C7-4231-AC7B-4574C7201B6C}"/>
    <cellStyle name="Normal 12" xfId="16" xr:uid="{85E62852-2CD8-4672-92C3-B9C7B9E68E77}"/>
    <cellStyle name="Normal 13" xfId="17" xr:uid="{26C283D4-B542-41D7-A456-EE08081EEC25}"/>
    <cellStyle name="Normal 14" xfId="18" xr:uid="{6A43F8FC-A155-408E-9E86-A50CDF2DEF11}"/>
    <cellStyle name="Normal 2" xfId="19" xr:uid="{6D4A9CD2-5FE8-4D79-8AC0-948C911173A5}"/>
    <cellStyle name="Normal 2 13" xfId="20" xr:uid="{D5476C96-E912-442C-A420-33345F061470}"/>
    <cellStyle name="Normal 2 13 2" xfId="21" xr:uid="{77E1D56D-2620-4BE9-AA46-C1D6374BACE3}"/>
    <cellStyle name="Normal 2 2" xfId="22" xr:uid="{9B17743B-B3C0-45AD-AEE2-A3ECAD2BC557}"/>
    <cellStyle name="Normal 2 2 2" xfId="23" xr:uid="{71B7EA60-26DE-4DC8-BA1D-5EE440FADF4E}"/>
    <cellStyle name="Normal 2 2 3" xfId="24" xr:uid="{DF2A159C-ACBF-45DC-9E2B-F2A4EBB087A5}"/>
    <cellStyle name="Normal 2 20" xfId="25" xr:uid="{FE4A96CB-79D5-4E69-9906-3C256D82931C}"/>
    <cellStyle name="Normal 2 21 2 3" xfId="26" xr:uid="{8F099115-8A20-4812-9056-1F341F66A416}"/>
    <cellStyle name="Normal 2 21 2 3 2" xfId="27" xr:uid="{5EA7C7F8-EFFA-4294-A3BF-02AC0D15BF2F}"/>
    <cellStyle name="Normal 2 21 2 3 2 2" xfId="28" xr:uid="{C73C45A8-AF96-47DD-BA94-ADC10DD34927}"/>
    <cellStyle name="Normal 2 3" xfId="29" xr:uid="{CE742DFB-38CD-4ED5-A470-98C98C792AA5}"/>
    <cellStyle name="Normal 2 3 2" xfId="30" xr:uid="{1508F2EA-EA89-4D50-B2B3-4375031BB59C}"/>
    <cellStyle name="Normal 2 4" xfId="31" xr:uid="{92FFB26E-958D-4212-8202-D701B662D212}"/>
    <cellStyle name="Normal 2 4 2" xfId="32" xr:uid="{0C3DAAC9-5152-427A-9FE4-F79CD563504F}"/>
    <cellStyle name="Normal 2 5" xfId="33" xr:uid="{1A973E00-6E54-4C4C-BBA0-E8E898195146}"/>
    <cellStyle name="Normal 2 5 2" xfId="34" xr:uid="{07DABFC8-D974-4619-9696-9A5EECDC7ECA}"/>
    <cellStyle name="Normal 2 6" xfId="35" xr:uid="{24FAD4E4-9B3D-4603-AE70-9D1805BB486C}"/>
    <cellStyle name="Normal 2 6 2" xfId="36" xr:uid="{E439721E-9FD4-4EB6-9F63-F80988C724AD}"/>
    <cellStyle name="Normal 2 7" xfId="37" xr:uid="{6BC9A7F0-FA9E-46CA-8F59-F0DFF58A4339}"/>
    <cellStyle name="Normal 2 8" xfId="38" xr:uid="{182B3727-06EC-42B1-9213-6A0A53336E18}"/>
    <cellStyle name="Normal 2 9" xfId="39" xr:uid="{3BC4E92C-3E8B-4330-8907-E9A424D95A36}"/>
    <cellStyle name="Normal 24" xfId="40" xr:uid="{BB024796-A70D-4E47-9089-96BFA20CFC43}"/>
    <cellStyle name="Normal 24 2" xfId="41" xr:uid="{32C68792-5B7B-4655-ABFA-4DF235F73F4A}"/>
    <cellStyle name="Normal 3" xfId="42" xr:uid="{63F37D6D-87F0-4439-AFC3-15FC92EEFF16}"/>
    <cellStyle name="Normal 3 2" xfId="43" xr:uid="{BD38837B-ADBA-4065-A3D4-C99F54F32B56}"/>
    <cellStyle name="Normal 3 2 2" xfId="44" xr:uid="{9B58EB95-F8D7-4FD6-889A-3A08293E8747}"/>
    <cellStyle name="Normal 3 2 3" xfId="45" xr:uid="{E568B92F-C967-4ABC-8E63-972319769CB2}"/>
    <cellStyle name="Normal 3 3" xfId="46" xr:uid="{F0DAA26D-24F1-4ADA-B2B8-2B7C2F84C59F}"/>
    <cellStyle name="Normal 3 3 2" xfId="47" xr:uid="{DB2DCE7D-E32C-4D4C-A85F-EEC2B31D16A4}"/>
    <cellStyle name="Normal 3 4" xfId="48" xr:uid="{8082D9C0-CCFF-4AF0-B75A-5531D446CED0}"/>
    <cellStyle name="Normal 3 4 2" xfId="49" xr:uid="{9804BEFD-D60F-48EB-8C89-F38308BB0330}"/>
    <cellStyle name="Normal 3 5" xfId="50" xr:uid="{CDA9EE81-4FE6-4F64-98A0-6A2B94376C30}"/>
    <cellStyle name="Normal 3 5 2" xfId="51" xr:uid="{41F60199-042F-4DE6-9E78-1D1959215DC6}"/>
    <cellStyle name="Normal 3 6" xfId="52" xr:uid="{CC2675D9-8053-49CE-9F76-7B5A32A72278}"/>
    <cellStyle name="Normal 30" xfId="53" xr:uid="{AD7EFE1B-D05E-4973-BAE6-5B79C708C4DA}"/>
    <cellStyle name="Normal 30 2" xfId="54" xr:uid="{11F5501F-0907-4FE4-8066-E3B13F8E6090}"/>
    <cellStyle name="Normal 33" xfId="55" xr:uid="{105661D4-90D1-4435-8196-9272C93AFAE9}"/>
    <cellStyle name="Normal 4" xfId="56" xr:uid="{96BDC39C-4E68-4B3A-B514-E897C660A105}"/>
    <cellStyle name="Normal 4 2" xfId="57" xr:uid="{DAE6553B-3B64-4EDD-B605-2C93B2456909}"/>
    <cellStyle name="Normal 4 2 2" xfId="58" xr:uid="{16D84AB7-FB83-4AC1-9F6C-7D29D855AE53}"/>
    <cellStyle name="Normal 4 3" xfId="59" xr:uid="{A33386C6-8561-4596-8DE8-B890886BB689}"/>
    <cellStyle name="Normal 5" xfId="60" xr:uid="{74035914-79AD-4315-8B5D-428E45BE9D26}"/>
    <cellStyle name="Normal 5 2" xfId="61" xr:uid="{2A47555F-E48A-4E0F-8D5A-63862898B241}"/>
    <cellStyle name="Normal 6" xfId="62" xr:uid="{B57AC77A-306C-4768-AEC5-E03F650E1F0E}"/>
    <cellStyle name="Normal 6 2" xfId="63" xr:uid="{5852F28C-86A3-468A-ADFE-0D3CDE3B0FE0}"/>
    <cellStyle name="Normal 6 3" xfId="64" xr:uid="{32DB06E7-94FC-4E0F-B819-543BD055BF0D}"/>
    <cellStyle name="Normal 66" xfId="65" xr:uid="{AF7B15EA-82B3-4F6E-9768-9EAB9A35907F}"/>
    <cellStyle name="Normal 7" xfId="66" xr:uid="{C87AC2B1-080A-4D41-B794-CE39163F0233}"/>
    <cellStyle name="Normal 7 2" xfId="67" xr:uid="{4832EF59-DE0E-4313-8A66-1178F4231521}"/>
    <cellStyle name="Normal 7 3" xfId="68" xr:uid="{0DBAE710-EDBF-478D-AD72-1E5197F89477}"/>
    <cellStyle name="Normal 8" xfId="69" xr:uid="{322F2FCF-8059-4D5F-950C-6BCB8DBBF353}"/>
    <cellStyle name="Normal 8 2" xfId="70" xr:uid="{7538817B-419A-4C9C-A7AB-6919C22872E4}"/>
    <cellStyle name="Normal 8 7" xfId="71" xr:uid="{08502040-2032-4FBC-A7B8-CB61162E5D89}"/>
    <cellStyle name="Normal 9" xfId="72" xr:uid="{D451FA70-7881-4C8E-80AA-3B25A43CF3B9}"/>
    <cellStyle name="Notas 2" xfId="73" xr:uid="{2EB1D559-0856-40FB-AC46-FE28DFDA5297}"/>
    <cellStyle name="Porcentual 3" xfId="74" xr:uid="{29D92AE3-253F-44C2-B523-26980960F957}"/>
    <cellStyle name="Porcentual 3 2" xfId="75" xr:uid="{60FB3487-8533-4750-BEB6-74215723A8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32BC-69C2-4D6A-AB57-83FDD68F21BE}">
  <sheetPr>
    <pageSetUpPr fitToPage="1"/>
  </sheetPr>
  <dimension ref="A1:M14"/>
  <sheetViews>
    <sheetView tabSelected="1" topLeftCell="B1" zoomScale="87" zoomScaleNormal="85" workbookViewId="0">
      <selection activeCell="H4" sqref="H4"/>
    </sheetView>
  </sheetViews>
  <sheetFormatPr baseColWidth="10" defaultColWidth="10.85546875" defaultRowHeight="15" x14ac:dyDescent="0.25"/>
  <cols>
    <col min="1" max="1" width="23" style="1" bestFit="1" customWidth="1"/>
    <col min="2" max="2" width="19.7109375" style="1" bestFit="1" customWidth="1"/>
    <col min="3" max="3" width="7.7109375" style="1" bestFit="1" customWidth="1"/>
    <col min="4" max="4" width="17.5703125" style="6" bestFit="1" customWidth="1"/>
    <col min="5" max="5" width="5.85546875" style="1" bestFit="1" customWidth="1"/>
    <col min="6" max="6" width="12.140625" style="1" bestFit="1" customWidth="1"/>
    <col min="7" max="7" width="18.7109375" style="1" bestFit="1" customWidth="1"/>
    <col min="8" max="8" width="37.42578125" style="1" bestFit="1" customWidth="1"/>
    <col min="9" max="9" width="7.140625" style="1" bestFit="1" customWidth="1"/>
    <col min="10" max="10" width="70.140625" style="1" bestFit="1" customWidth="1"/>
    <col min="11" max="11" width="14.42578125" style="1" bestFit="1" customWidth="1"/>
    <col min="12" max="12" width="5.7109375" bestFit="1" customWidth="1"/>
    <col min="13" max="13" width="10.42578125" bestFit="1" customWidth="1"/>
  </cols>
  <sheetData>
    <row r="1" spans="1:13" s="4" customFormat="1" ht="25.5" x14ac:dyDescent="0.25">
      <c r="A1" s="2" t="s">
        <v>0</v>
      </c>
      <c r="B1" s="2" t="s">
        <v>1</v>
      </c>
      <c r="C1" s="2" t="s">
        <v>2</v>
      </c>
      <c r="D1" s="5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12" t="s">
        <v>54</v>
      </c>
      <c r="M1" s="13" t="s">
        <v>55</v>
      </c>
    </row>
    <row r="2" spans="1:13" s="11" customFormat="1" x14ac:dyDescent="0.25">
      <c r="A2" s="8" t="s">
        <v>18</v>
      </c>
      <c r="B2" s="8" t="s">
        <v>19</v>
      </c>
      <c r="C2" s="9" t="s">
        <v>11</v>
      </c>
      <c r="D2" s="10">
        <v>27101</v>
      </c>
      <c r="E2" s="9">
        <f t="shared" ref="E2:E10" ca="1" si="0">INT((TODAY()-D2)/365.25)</f>
        <v>51</v>
      </c>
      <c r="F2" s="9">
        <v>12346321</v>
      </c>
      <c r="G2" s="9" t="s">
        <v>12</v>
      </c>
      <c r="H2" s="9" t="s">
        <v>12</v>
      </c>
      <c r="I2" s="9" t="s">
        <v>13</v>
      </c>
      <c r="J2" s="9" t="s">
        <v>20</v>
      </c>
      <c r="K2" s="9" t="s">
        <v>21</v>
      </c>
    </row>
    <row r="3" spans="1:13" x14ac:dyDescent="0.25">
      <c r="A3" s="1" t="s">
        <v>22</v>
      </c>
      <c r="B3" s="1" t="s">
        <v>23</v>
      </c>
      <c r="C3" s="1" t="s">
        <v>14</v>
      </c>
      <c r="D3" s="6">
        <v>24543</v>
      </c>
      <c r="E3" s="7">
        <f t="shared" ca="1" si="0"/>
        <v>58</v>
      </c>
      <c r="F3" s="1">
        <v>8046856</v>
      </c>
      <c r="G3" s="1" t="s">
        <v>16</v>
      </c>
      <c r="H3" s="1" t="s">
        <v>57</v>
      </c>
      <c r="I3" s="1" t="s">
        <v>13</v>
      </c>
      <c r="J3" s="1" t="s">
        <v>20</v>
      </c>
      <c r="K3" s="4" t="s">
        <v>21</v>
      </c>
    </row>
    <row r="4" spans="1:13" x14ac:dyDescent="0.25">
      <c r="A4" s="1" t="s">
        <v>24</v>
      </c>
      <c r="B4" s="1" t="s">
        <v>25</v>
      </c>
      <c r="C4" s="1" t="s">
        <v>11</v>
      </c>
      <c r="D4" s="6">
        <v>40061</v>
      </c>
      <c r="E4" s="7">
        <f t="shared" ca="1" si="0"/>
        <v>16</v>
      </c>
      <c r="F4" s="1">
        <v>32944403</v>
      </c>
      <c r="G4" s="1" t="s">
        <v>16</v>
      </c>
      <c r="H4" s="1" t="s">
        <v>17</v>
      </c>
      <c r="I4" s="1" t="s">
        <v>13</v>
      </c>
      <c r="J4" s="1" t="s">
        <v>20</v>
      </c>
      <c r="K4" s="4" t="s">
        <v>21</v>
      </c>
    </row>
    <row r="5" spans="1:13" x14ac:dyDescent="0.25">
      <c r="A5" s="1" t="s">
        <v>26</v>
      </c>
      <c r="B5" s="1" t="s">
        <v>27</v>
      </c>
      <c r="C5" s="1" t="s">
        <v>14</v>
      </c>
      <c r="D5" s="6">
        <v>43973</v>
      </c>
      <c r="E5" s="7">
        <f t="shared" ca="1" si="0"/>
        <v>5</v>
      </c>
      <c r="F5" s="1" t="s">
        <v>28</v>
      </c>
      <c r="G5" s="1" t="s">
        <v>16</v>
      </c>
      <c r="H5" s="1" t="s">
        <v>29</v>
      </c>
      <c r="I5" s="1" t="s">
        <v>13</v>
      </c>
      <c r="J5" s="1" t="s">
        <v>20</v>
      </c>
      <c r="K5" s="4" t="s">
        <v>21</v>
      </c>
    </row>
    <row r="6" spans="1:13" s="11" customFormat="1" x14ac:dyDescent="0.25">
      <c r="A6" s="8" t="s">
        <v>30</v>
      </c>
      <c r="B6" s="8" t="s">
        <v>31</v>
      </c>
      <c r="C6" s="9" t="s">
        <v>14</v>
      </c>
      <c r="D6" s="10">
        <v>28814</v>
      </c>
      <c r="E6" s="9">
        <f t="shared" ca="1" si="0"/>
        <v>46</v>
      </c>
      <c r="F6" s="9">
        <v>15032719</v>
      </c>
      <c r="G6" s="9" t="s">
        <v>12</v>
      </c>
      <c r="H6" s="9" t="s">
        <v>12</v>
      </c>
      <c r="I6" s="9" t="s">
        <v>13</v>
      </c>
      <c r="J6" s="9" t="s">
        <v>32</v>
      </c>
      <c r="K6" s="9" t="s">
        <v>33</v>
      </c>
    </row>
    <row r="7" spans="1:13" x14ac:dyDescent="0.25">
      <c r="A7" s="1" t="s">
        <v>34</v>
      </c>
      <c r="B7" s="1" t="s">
        <v>35</v>
      </c>
      <c r="C7" s="1" t="s">
        <v>11</v>
      </c>
      <c r="D7" s="6">
        <v>28933</v>
      </c>
      <c r="E7" s="7">
        <f t="shared" ca="1" si="0"/>
        <v>46</v>
      </c>
      <c r="F7" s="1">
        <v>14917531</v>
      </c>
      <c r="G7" s="1" t="s">
        <v>16</v>
      </c>
      <c r="H7" s="1" t="s">
        <v>56</v>
      </c>
      <c r="I7" s="1" t="s">
        <v>13</v>
      </c>
      <c r="J7" s="1" t="s">
        <v>32</v>
      </c>
      <c r="K7" s="1" t="s">
        <v>33</v>
      </c>
    </row>
    <row r="8" spans="1:13" x14ac:dyDescent="0.25">
      <c r="A8" s="1" t="s">
        <v>36</v>
      </c>
      <c r="B8" s="1" t="s">
        <v>37</v>
      </c>
      <c r="C8" s="1" t="s">
        <v>11</v>
      </c>
      <c r="D8" s="6">
        <v>37232</v>
      </c>
      <c r="E8" s="1">
        <f t="shared" ca="1" si="0"/>
        <v>23</v>
      </c>
      <c r="F8" s="1">
        <v>28296467</v>
      </c>
      <c r="G8" s="1" t="s">
        <v>16</v>
      </c>
      <c r="H8" s="1" t="s">
        <v>17</v>
      </c>
      <c r="I8" s="1" t="s">
        <v>13</v>
      </c>
      <c r="J8" s="1" t="s">
        <v>32</v>
      </c>
      <c r="K8" s="1" t="s">
        <v>33</v>
      </c>
    </row>
    <row r="9" spans="1:13" x14ac:dyDescent="0.25">
      <c r="A9" s="1" t="s">
        <v>38</v>
      </c>
      <c r="B9" s="1" t="s">
        <v>39</v>
      </c>
      <c r="C9" s="1" t="s">
        <v>11</v>
      </c>
      <c r="D9" s="6">
        <v>18728</v>
      </c>
      <c r="E9" s="1">
        <f t="shared" ca="1" si="0"/>
        <v>74</v>
      </c>
      <c r="F9" s="1">
        <v>12349710</v>
      </c>
      <c r="G9" s="1" t="s">
        <v>16</v>
      </c>
      <c r="H9" s="1" t="s">
        <v>15</v>
      </c>
      <c r="I9" s="1" t="s">
        <v>40</v>
      </c>
      <c r="J9" s="1" t="s">
        <v>32</v>
      </c>
      <c r="K9" s="1" t="s">
        <v>33</v>
      </c>
    </row>
    <row r="10" spans="1:13" x14ac:dyDescent="0.25">
      <c r="A10" s="1" t="s">
        <v>36</v>
      </c>
      <c r="B10" s="1" t="s">
        <v>41</v>
      </c>
      <c r="C10" s="1" t="s">
        <v>14</v>
      </c>
      <c r="D10" s="6">
        <v>44077</v>
      </c>
      <c r="E10" s="1">
        <f t="shared" ca="1" si="0"/>
        <v>5</v>
      </c>
      <c r="F10" s="1" t="s">
        <v>42</v>
      </c>
      <c r="G10" s="1" t="s">
        <v>16</v>
      </c>
      <c r="H10" s="1" t="s">
        <v>29</v>
      </c>
      <c r="I10" s="1" t="s">
        <v>13</v>
      </c>
      <c r="J10" s="1" t="s">
        <v>32</v>
      </c>
      <c r="K10" s="1" t="s">
        <v>33</v>
      </c>
    </row>
    <row r="11" spans="1:13" s="11" customFormat="1" x14ac:dyDescent="0.25">
      <c r="A11" s="8" t="s">
        <v>43</v>
      </c>
      <c r="B11" s="8" t="s">
        <v>44</v>
      </c>
      <c r="C11" s="9" t="s">
        <v>14</v>
      </c>
      <c r="D11" s="10">
        <v>27041</v>
      </c>
      <c r="E11" s="9">
        <f ca="1">INT((TODAY()-D11)/365.25)</f>
        <v>51</v>
      </c>
      <c r="F11" s="9">
        <v>12721296</v>
      </c>
      <c r="G11" s="9" t="s">
        <v>12</v>
      </c>
      <c r="H11" s="9" t="s">
        <v>12</v>
      </c>
      <c r="I11" s="9" t="s">
        <v>13</v>
      </c>
      <c r="J11" s="9" t="s">
        <v>45</v>
      </c>
      <c r="K11" s="9" t="s">
        <v>46</v>
      </c>
    </row>
    <row r="12" spans="1:13" x14ac:dyDescent="0.25">
      <c r="A12" s="1" t="s">
        <v>47</v>
      </c>
      <c r="B12" s="1" t="s">
        <v>48</v>
      </c>
      <c r="C12" s="1" t="s">
        <v>11</v>
      </c>
      <c r="D12" s="6">
        <v>27271</v>
      </c>
      <c r="E12" s="1">
        <f ca="1">INT((TODAY()-D12)/365.25)</f>
        <v>51</v>
      </c>
      <c r="F12" s="1">
        <v>12549483</v>
      </c>
      <c r="G12" s="1" t="s">
        <v>16</v>
      </c>
      <c r="H12" s="1" t="s">
        <v>56</v>
      </c>
      <c r="I12" s="1" t="s">
        <v>13</v>
      </c>
      <c r="J12" s="1" t="s">
        <v>45</v>
      </c>
      <c r="K12" s="1" t="s">
        <v>46</v>
      </c>
    </row>
    <row r="13" spans="1:13" x14ac:dyDescent="0.25">
      <c r="A13" s="1" t="s">
        <v>49</v>
      </c>
      <c r="B13" s="1" t="s">
        <v>50</v>
      </c>
      <c r="C13" s="1" t="s">
        <v>11</v>
      </c>
      <c r="D13" s="6">
        <v>36178</v>
      </c>
      <c r="E13" s="1">
        <f ca="1">INT((TODAY()-D13)/365.25)</f>
        <v>26</v>
      </c>
      <c r="F13" s="1">
        <v>26698947</v>
      </c>
      <c r="G13" s="1" t="s">
        <v>16</v>
      </c>
      <c r="H13" s="1" t="s">
        <v>51</v>
      </c>
      <c r="I13" s="1" t="s">
        <v>13</v>
      </c>
      <c r="J13" s="1" t="s">
        <v>45</v>
      </c>
      <c r="K13" s="1" t="s">
        <v>46</v>
      </c>
    </row>
    <row r="14" spans="1:13" x14ac:dyDescent="0.25">
      <c r="A14" s="1" t="s">
        <v>52</v>
      </c>
      <c r="B14" s="1" t="s">
        <v>53</v>
      </c>
      <c r="C14" s="1" t="s">
        <v>11</v>
      </c>
      <c r="D14" s="6">
        <v>19687</v>
      </c>
      <c r="E14" s="1">
        <f ca="1">INT((TODAY()-D14)/365.25)</f>
        <v>71</v>
      </c>
      <c r="F14" s="1">
        <v>9048718</v>
      </c>
      <c r="G14" s="1" t="s">
        <v>16</v>
      </c>
      <c r="H14" s="1" t="s">
        <v>15</v>
      </c>
      <c r="I14" s="1" t="s">
        <v>13</v>
      </c>
      <c r="J14" s="1" t="s">
        <v>45</v>
      </c>
      <c r="K14" s="1" t="s">
        <v>46</v>
      </c>
    </row>
  </sheetData>
  <sheetProtection selectLockedCells="1" selectUnlockedCells="1"/>
  <autoFilter ref="G1" xr:uid="{6187FC06-5E9A-4DA1-A69D-9E236E12862B}"/>
  <pageMargins left="0.70000000000000007" right="0.70000000000000007" top="0.75" bottom="0.75" header="0.51181102362204722" footer="0.51181102362204722"/>
  <pageSetup scale="38" firstPageNumber="0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MLAM-TM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CAPPOLIMER</dc:creator>
  <cp:lastModifiedBy>Daniel</cp:lastModifiedBy>
  <cp:lastPrinted>2025-03-28T17:47:12Z</cp:lastPrinted>
  <dcterms:created xsi:type="dcterms:W3CDTF">2025-03-12T13:22:43Z</dcterms:created>
  <dcterms:modified xsi:type="dcterms:W3CDTF">2025-11-13T23:39:13Z</dcterms:modified>
</cp:coreProperties>
</file>