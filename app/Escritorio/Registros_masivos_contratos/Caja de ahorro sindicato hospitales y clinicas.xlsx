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827"/>
  <workbookPr dateCompatibility="0"/>
  <mc:AlternateContent xmlns:mc="http://schemas.openxmlformats.org/markup-compatibility/2006">
    <mc:Choice Requires="x15">
      <x15ac:absPath xmlns:x15ac="http://schemas.microsoft.com/office/spreadsheetml/2010/11/ac" url="C:\Users\Daniel\Documents\misalu\app\Escritorio\Registros_masivos_contratos\"/>
    </mc:Choice>
  </mc:AlternateContent>
  <xr:revisionPtr revIDLastSave="0" documentId="13_ncr:9_{F91DE78A-6421-4E03-A127-DD52E80620B1}" xr6:coauthVersionLast="47" xr6:coauthVersionMax="47" xr10:uidLastSave="{00000000-0000-0000-0000-000000000000}"/>
  <bookViews>
    <workbookView xWindow="-120" yWindow="-120" windowWidth="21840" windowHeight="13140" xr2:uid="{56A32DA1-5DC7-4E99-87BC-1A339D155A3F}"/>
  </bookViews>
  <sheets>
    <sheet name="Hoja1" sheetId="3" r:id="rId1"/>
  </sheets>
  <definedNames>
    <definedName name="_xlnm._FilterDatabase" localSheetId="0" hidden="1">Hoja1!$A$1:$M$449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E449" i="3" l="1"/>
  <c r="E444" i="3"/>
  <c r="E443" i="3"/>
  <c r="E447" i="3"/>
  <c r="E446" i="3"/>
  <c r="E242" i="3"/>
  <c r="E241" i="3"/>
  <c r="E240" i="3"/>
  <c r="E244" i="3"/>
  <c r="E47" i="3"/>
  <c r="E46" i="3"/>
  <c r="E45" i="3"/>
  <c r="E31" i="3"/>
  <c r="E30" i="3"/>
  <c r="E29" i="3"/>
  <c r="E28" i="3"/>
  <c r="E27" i="3"/>
  <c r="E143" i="3"/>
  <c r="E148" i="3"/>
  <c r="E147" i="3"/>
  <c r="E146" i="3"/>
  <c r="E145" i="3"/>
  <c r="E144" i="3"/>
  <c r="E445" i="3"/>
  <c r="E442" i="3"/>
  <c r="E441" i="3"/>
  <c r="E440" i="3"/>
  <c r="E439" i="3"/>
  <c r="E438" i="3"/>
  <c r="E437" i="3"/>
  <c r="E436" i="3"/>
  <c r="E435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2" i="3"/>
  <c r="E251" i="3"/>
  <c r="E250" i="3"/>
  <c r="E249" i="3"/>
  <c r="E248" i="3"/>
  <c r="E247" i="3"/>
  <c r="E246" i="3"/>
  <c r="E245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<sst xmlns="http://purl.oclc.org/ooxml/spreadsheetml/main" count="3241" uniqueCount="963">
  <si>
    <t>EDAD</t>
  </si>
  <si>
    <t>Beneficiario / Titular</t>
  </si>
  <si>
    <t>F</t>
  </si>
  <si>
    <t>TITULAR</t>
  </si>
  <si>
    <t>S</t>
  </si>
  <si>
    <t>MERIDA</t>
  </si>
  <si>
    <t>HIJA</t>
  </si>
  <si>
    <t>M</t>
  </si>
  <si>
    <t>MADRE</t>
  </si>
  <si>
    <t>HIJO</t>
  </si>
  <si>
    <t>PADRE</t>
  </si>
  <si>
    <t xml:space="preserve">GODOY BRACHO </t>
  </si>
  <si>
    <t>EUDE LEONARDO</t>
  </si>
  <si>
    <t xml:space="preserve"> OVIEDO PULIDO</t>
  </si>
  <si>
    <t>ZORAIDA JOSEFINA</t>
  </si>
  <si>
    <t>NIETO</t>
  </si>
  <si>
    <t>VONNIA DUBRASKA</t>
  </si>
  <si>
    <t>NIETA</t>
  </si>
  <si>
    <t xml:space="preserve">NIETO </t>
  </si>
  <si>
    <t>ENYIRDA YUSBELY</t>
  </si>
  <si>
    <t xml:space="preserve">LOBO DUGARTE </t>
  </si>
  <si>
    <t>LUZ MARI</t>
  </si>
  <si>
    <t>MARQUINA HERNÁNDEZ</t>
  </si>
  <si>
    <t xml:space="preserve">EDELIO ANTONIO </t>
  </si>
  <si>
    <t>MARQUINA LOBO</t>
  </si>
  <si>
    <t xml:space="preserve">VICMARY ANTONELLA </t>
  </si>
  <si>
    <t xml:space="preserve"> LOBO RIVAS</t>
  </si>
  <si>
    <t>MARIO</t>
  </si>
  <si>
    <t>DUGARTE DE LOBO</t>
  </si>
  <si>
    <t xml:space="preserve">MARIA VICTORIA </t>
  </si>
  <si>
    <t>D</t>
  </si>
  <si>
    <t>C</t>
  </si>
  <si>
    <t>AMANDA DELIETH</t>
  </si>
  <si>
    <t xml:space="preserve"> GONZALEZ</t>
  </si>
  <si>
    <t>ESPERANZA DEL CARMEN</t>
  </si>
  <si>
    <t>GUTIÉRREZ CASTILLO</t>
  </si>
  <si>
    <t xml:space="preserve">JOSÉ ADHEMAR </t>
  </si>
  <si>
    <t xml:space="preserve">SANDERS MATHIAS </t>
  </si>
  <si>
    <t>NOGUERA ANGULO</t>
  </si>
  <si>
    <t>QUINTERO VIELMA</t>
  </si>
  <si>
    <t xml:space="preserve">RIGOBERTO ALI </t>
  </si>
  <si>
    <t>PAREDES ARAQUE</t>
  </si>
  <si>
    <t>QUINTERO PAREDES</t>
  </si>
  <si>
    <t xml:space="preserve">YIBERLI NAZARETH </t>
  </si>
  <si>
    <t>ARIANNY SUSEJ</t>
  </si>
  <si>
    <t>QUINTERO RIVAS</t>
  </si>
  <si>
    <t>MARIA DALIA</t>
  </si>
  <si>
    <t>MORA</t>
  </si>
  <si>
    <t xml:space="preserve"> MORA RANGEL</t>
  </si>
  <si>
    <t>ELSY MARIA</t>
  </si>
  <si>
    <t>ACOSTA MORA</t>
  </si>
  <si>
    <t xml:space="preserve"> ACOSTA MORA</t>
  </si>
  <si>
    <t>NIKOLAS ANDRES</t>
  </si>
  <si>
    <t>ACOSTA SANTIAGO</t>
  </si>
  <si>
    <t xml:space="preserve"> RONDON HERNANDEZ</t>
  </si>
  <si>
    <t>LUIS ANTONIO</t>
  </si>
  <si>
    <t>SANTIAGO ANDRES</t>
  </si>
  <si>
    <t>RODRIGO ALBERTO</t>
  </si>
  <si>
    <t>MARIA DE LOS ANGELES</t>
  </si>
  <si>
    <t>RONDON RONDON</t>
  </si>
  <si>
    <t>MARIA FLORENCIA</t>
  </si>
  <si>
    <t>CONTRERAS DE RONDON</t>
  </si>
  <si>
    <t>DAVILA</t>
  </si>
  <si>
    <t xml:space="preserve">NANCY JOSEFINA </t>
  </si>
  <si>
    <t xml:space="preserve">MARIA ARACELYS </t>
  </si>
  <si>
    <t>TORRES DE DUGARTE</t>
  </si>
  <si>
    <t>V</t>
  </si>
  <si>
    <t xml:space="preserve"> TORRES MENDEZ</t>
  </si>
  <si>
    <t>TEODULO IVAN</t>
  </si>
  <si>
    <t>RONDON ALVARADO</t>
  </si>
  <si>
    <t xml:space="preserve">VALERIA SOFIA </t>
  </si>
  <si>
    <t xml:space="preserve"> RONDON ALVARADO</t>
  </si>
  <si>
    <t>ARANZA SOFIA</t>
  </si>
  <si>
    <t xml:space="preserve"> NAVAS</t>
  </si>
  <si>
    <t>MARIA AGUSTINA</t>
  </si>
  <si>
    <t>IZARRA</t>
  </si>
  <si>
    <t xml:space="preserve">LEON NABOR </t>
  </si>
  <si>
    <t xml:space="preserve"> VILLARREAL TORO</t>
  </si>
  <si>
    <t>MARIEL VALENTINA</t>
  </si>
  <si>
    <t>LOZANO</t>
  </si>
  <si>
    <t xml:space="preserve">YUSMARI DEL CARMEN </t>
  </si>
  <si>
    <t>PARRA RAMÍREZ</t>
  </si>
  <si>
    <t xml:space="preserve">JOSE SIXTO </t>
  </si>
  <si>
    <t xml:space="preserve"> PARRA LOZANO</t>
  </si>
  <si>
    <t>SIXMAIRY YUSSETH</t>
  </si>
  <si>
    <t>JENDERSON ENMANUEL</t>
  </si>
  <si>
    <t xml:space="preserve"> RAMÍREZ DE BUSTAMANTE</t>
  </si>
  <si>
    <t>MARÍA TERESA</t>
  </si>
  <si>
    <t xml:space="preserve"> BUSTAMANTE VASQUEZ</t>
  </si>
  <si>
    <t>CARLOS MIGUEL</t>
  </si>
  <si>
    <t xml:space="preserve"> PEÑA BUSTAMANTE</t>
  </si>
  <si>
    <t>ANDRES EDUARDO</t>
  </si>
  <si>
    <t>PEÑA BUSTAMANTE</t>
  </si>
  <si>
    <t xml:space="preserve">SANTIAGO ISAAC </t>
  </si>
  <si>
    <t xml:space="preserve"> CAMACHO BUSTAMANTE</t>
  </si>
  <si>
    <t>MATEO ALEXANDRO</t>
  </si>
  <si>
    <t xml:space="preserve"> DUGARTE GOMEZ</t>
  </si>
  <si>
    <t>ANGELLY DARIANNA</t>
  </si>
  <si>
    <t>SANTOS DUGARTE</t>
  </si>
  <si>
    <t xml:space="preserve">CARLOS DIMITRI </t>
  </si>
  <si>
    <t xml:space="preserve"> DUGARTE FLORES</t>
  </si>
  <si>
    <t>CARMEN AURORA</t>
  </si>
  <si>
    <t xml:space="preserve"> VIVAS PEREZ</t>
  </si>
  <si>
    <t>ANA VICTORIA</t>
  </si>
  <si>
    <t xml:space="preserve"> ARANGUREN PEREZ</t>
  </si>
  <si>
    <t>ISSABELLA ANTONELLA</t>
  </si>
  <si>
    <t>GUERRERO DE GUTIERREZ</t>
  </si>
  <si>
    <t xml:space="preserve">GRACIELA </t>
  </si>
  <si>
    <t xml:space="preserve"> GUTIERREZ</t>
  </si>
  <si>
    <t>YOVANY JESUS</t>
  </si>
  <si>
    <t xml:space="preserve"> GUERRERO ROSALES</t>
  </si>
  <si>
    <t>NICOL NOHELIT</t>
  </si>
  <si>
    <t>GUERRERO ROSALES</t>
  </si>
  <si>
    <t xml:space="preserve">ASHLEY CAMILA </t>
  </si>
  <si>
    <t xml:space="preserve"> MÁRQUEZ ALARCON</t>
  </si>
  <si>
    <t>MILEYBI JOSEFINA</t>
  </si>
  <si>
    <t xml:space="preserve"> ALARCÓN DE ANGULO</t>
  </si>
  <si>
    <t>GEORGINA</t>
  </si>
  <si>
    <t>FERNÁNDEZ DUGARTE</t>
  </si>
  <si>
    <t xml:space="preserve">NAYVET ALEXANDRA </t>
  </si>
  <si>
    <t xml:space="preserve"> CUEVAS MARQUEZ</t>
  </si>
  <si>
    <t>JOSÉ DANIEL</t>
  </si>
  <si>
    <t xml:space="preserve"> GUTIERREZ DE RANGEL</t>
  </si>
  <si>
    <t>CARMEN MARILYN</t>
  </si>
  <si>
    <t xml:space="preserve">RANGEL </t>
  </si>
  <si>
    <t>PABLO DE LA CRUZ</t>
  </si>
  <si>
    <t>RANGEL CONTRERAS</t>
  </si>
  <si>
    <t xml:space="preserve"> JEANDERLUIK JOSSUE</t>
  </si>
  <si>
    <t xml:space="preserve">RANGEL CONTRERAS </t>
  </si>
  <si>
    <t>JEAN PABLO</t>
  </si>
  <si>
    <t>JEANKER MATHIAS</t>
  </si>
  <si>
    <t>RONDÓN MARQUINA</t>
  </si>
  <si>
    <t xml:space="preserve">DANY CARMELINA </t>
  </si>
  <si>
    <t xml:space="preserve"> BARRIOS G.</t>
  </si>
  <si>
    <t>JOSE HERIBERTO</t>
  </si>
  <si>
    <t xml:space="preserve"> BARRIOS RONDON</t>
  </si>
  <si>
    <t>HERIMAR CAROLINA</t>
  </si>
  <si>
    <t>RONDON ALTUVE</t>
  </si>
  <si>
    <t xml:space="preserve">DARIANNA MICHELL </t>
  </si>
  <si>
    <t xml:space="preserve"> PEREZ DE GARRIDO</t>
  </si>
  <si>
    <t>SIRIA NICOLASA</t>
  </si>
  <si>
    <t xml:space="preserve"> GARRIDO LOBO</t>
  </si>
  <si>
    <t>LUIS OROSMAN</t>
  </si>
  <si>
    <t xml:space="preserve"> LOBO DE GARRIDO</t>
  </si>
  <si>
    <t>TERESA DE JESUS</t>
  </si>
  <si>
    <t xml:space="preserve"> GARRIDO PÉREZ</t>
  </si>
  <si>
    <t>ANDREIBY JESUS</t>
  </si>
  <si>
    <t xml:space="preserve"> PEREZ GARRIDO</t>
  </si>
  <si>
    <t>MELANY SOPHÍA</t>
  </si>
  <si>
    <t>YOJANY JULIET</t>
  </si>
  <si>
    <t>YEPEZ RIVAS</t>
  </si>
  <si>
    <t xml:space="preserve">MANOLIA JOSEFINA </t>
  </si>
  <si>
    <t xml:space="preserve"> RIVAS PEREIRA</t>
  </si>
  <si>
    <t>EVA MORELA</t>
  </si>
  <si>
    <t xml:space="preserve"> PAREDES YEPEZ</t>
  </si>
  <si>
    <t>THAIZ MORELIA</t>
  </si>
  <si>
    <t xml:space="preserve"> MOLINA YEPEZ</t>
  </si>
  <si>
    <t>SANTIAGO ALEJO</t>
  </si>
  <si>
    <t>MORENO CONTRERAS</t>
  </si>
  <si>
    <t xml:space="preserve">JOAQUIN </t>
  </si>
  <si>
    <t>MÁRQUEZ</t>
  </si>
  <si>
    <t xml:space="preserve">FREYDER ALIAN </t>
  </si>
  <si>
    <t xml:space="preserve"> ROSALES ROMERO</t>
  </si>
  <si>
    <t>GLENDA LISBETH</t>
  </si>
  <si>
    <t xml:space="preserve"> VALERO PAREDES</t>
  </si>
  <si>
    <t>LUCIANO ALESSANDRO</t>
  </si>
  <si>
    <t>LYAN ALESSANDRO</t>
  </si>
  <si>
    <t xml:space="preserve"> MARTINEZ DE ZAMBRANO</t>
  </si>
  <si>
    <t>MARÍA ELOISA</t>
  </si>
  <si>
    <t>ZAMBRANO RONDON</t>
  </si>
  <si>
    <t xml:space="preserve">ANGEL ENMANUEL </t>
  </si>
  <si>
    <t xml:space="preserve"> SÁNCHEZ ZAMBRANO</t>
  </si>
  <si>
    <t>FRANK DAVID</t>
  </si>
  <si>
    <t xml:space="preserve">MARIANGEL SOPHIA </t>
  </si>
  <si>
    <t>SÁNCHEZ ZAMBRANO</t>
  </si>
  <si>
    <t xml:space="preserve">VICTORIA NAZARETH </t>
  </si>
  <si>
    <t>MIGUEL EDURDO</t>
  </si>
  <si>
    <t xml:space="preserve"> PLAZA PEÑA</t>
  </si>
  <si>
    <t>MARIA ELODIA</t>
  </si>
  <si>
    <t xml:space="preserve"> GUERRERO</t>
  </si>
  <si>
    <t>JOSÉ VIDENCIO</t>
  </si>
  <si>
    <t>PEÑA</t>
  </si>
  <si>
    <t xml:space="preserve">MARÍA JUANA </t>
  </si>
  <si>
    <t>MARÍA DE LOS ANGELES</t>
  </si>
  <si>
    <t>CRISBEL CORINA</t>
  </si>
  <si>
    <t xml:space="preserve"> RONDÓN DE ESCALANTE</t>
  </si>
  <si>
    <t>ANA RAMONA</t>
  </si>
  <si>
    <t>CALDERÓN ESCALANTE</t>
  </si>
  <si>
    <t xml:space="preserve">ANGEL SEBASTIAN </t>
  </si>
  <si>
    <t xml:space="preserve"> PAJARERO ESCALANTE</t>
  </si>
  <si>
    <t>ROMINA ISABELLA</t>
  </si>
  <si>
    <t xml:space="preserve"> MARQUEZ RIVAS</t>
  </si>
  <si>
    <t>GLADYS JOSEFINA</t>
  </si>
  <si>
    <t>LOBO</t>
  </si>
  <si>
    <t xml:space="preserve">JESÚS DIOVANI </t>
  </si>
  <si>
    <t xml:space="preserve"> LOBO MÁRQUEZ</t>
  </si>
  <si>
    <t>JESÚS DIONARDO</t>
  </si>
  <si>
    <t xml:space="preserve"> GAVIDIA LOBO</t>
  </si>
  <si>
    <t>ELMER JOHAN</t>
  </si>
  <si>
    <t xml:space="preserve"> DÁVILA LOBO</t>
  </si>
  <si>
    <t>DARLING LUCIA</t>
  </si>
  <si>
    <t xml:space="preserve"> RANGEL LOBO</t>
  </si>
  <si>
    <t>BEYLITH LUCIANA</t>
  </si>
  <si>
    <t xml:space="preserve"> VERA DE GUILLEN</t>
  </si>
  <si>
    <t>ELEYSA MARÍA</t>
  </si>
  <si>
    <t>GUILLEN MERCADO</t>
  </si>
  <si>
    <t xml:space="preserve">LORENZO JOSÉ </t>
  </si>
  <si>
    <t xml:space="preserve"> SÁNCHEZ GUILLEN</t>
  </si>
  <si>
    <t>VANESSA VALENTINA</t>
  </si>
  <si>
    <t>SÁNCHEZ GUILLEN</t>
  </si>
  <si>
    <t xml:space="preserve">VICTORIA SOFIA </t>
  </si>
  <si>
    <t xml:space="preserve"> GUILLEN VERA</t>
  </si>
  <si>
    <t>JOSE ALEJANDRO</t>
  </si>
  <si>
    <t>ANDERSON GABRIEL</t>
  </si>
  <si>
    <t xml:space="preserve"> GUILLEN DE ALTUVE</t>
  </si>
  <si>
    <t>SILVERIA</t>
  </si>
  <si>
    <t xml:space="preserve"> ALTUVE GUILLEN</t>
  </si>
  <si>
    <t>CARLOS DAVID</t>
  </si>
  <si>
    <t xml:space="preserve"> BARRERA ALTUVE</t>
  </si>
  <si>
    <t>SANTIAGO ANDRÉS</t>
  </si>
  <si>
    <t>SAMUEL ABRAHAM</t>
  </si>
  <si>
    <t xml:space="preserve"> AGREDA ALTUVE</t>
  </si>
  <si>
    <t>MATHIAS DAVID</t>
  </si>
  <si>
    <t xml:space="preserve"> MORA DE GUILLEN</t>
  </si>
  <si>
    <t>RAQUEL</t>
  </si>
  <si>
    <t xml:space="preserve"> GUILLEN QUINTERO</t>
  </si>
  <si>
    <t>LUIS EDUARDO</t>
  </si>
  <si>
    <t>GUILLEN ABREU</t>
  </si>
  <si>
    <t xml:space="preserve">SEBASTIAN JOSÉ </t>
  </si>
  <si>
    <t xml:space="preserve"> GUILLEN GUTIERREZ</t>
  </si>
  <si>
    <t>IRIS CELESTE</t>
  </si>
  <si>
    <t>MADRID AMELIE</t>
  </si>
  <si>
    <t xml:space="preserve"> ANGULO ALTUVE</t>
  </si>
  <si>
    <t>MARIA EMILSE</t>
  </si>
  <si>
    <t>SALAS PARRA</t>
  </si>
  <si>
    <t xml:space="preserve">ANTONIO MARIA </t>
  </si>
  <si>
    <t>SALAS ANGULO</t>
  </si>
  <si>
    <t xml:space="preserve">MARIELI ALEXANDRA </t>
  </si>
  <si>
    <t xml:space="preserve"> ALMENAR ANGULO</t>
  </si>
  <si>
    <t>NAIBETH ALEXANDRA</t>
  </si>
  <si>
    <t>ANTONELLA STEPHANIA</t>
  </si>
  <si>
    <t xml:space="preserve"> SALAS ANGULO</t>
  </si>
  <si>
    <t>ADRIAN MATEO</t>
  </si>
  <si>
    <t xml:space="preserve"> VILLARREAL DE UZCATEGUI</t>
  </si>
  <si>
    <t>MARGARITA</t>
  </si>
  <si>
    <t xml:space="preserve"> UZCATEGUI MALDONADO</t>
  </si>
  <si>
    <t>CARLOS LUIS</t>
  </si>
  <si>
    <t xml:space="preserve"> UZCATEGUI VILLARREAL</t>
  </si>
  <si>
    <t>GABRIEL SANTIAGO</t>
  </si>
  <si>
    <t xml:space="preserve"> RANGEL V.</t>
  </si>
  <si>
    <t>LIAN GAD</t>
  </si>
  <si>
    <t xml:space="preserve">DAVILA RODRIGUEZ </t>
  </si>
  <si>
    <t>MERY DEL CARMEN</t>
  </si>
  <si>
    <t xml:space="preserve"> VARELA URIBE</t>
  </si>
  <si>
    <t>GLORISBETH</t>
  </si>
  <si>
    <t xml:space="preserve"> GONZÁLEZ VERA</t>
  </si>
  <si>
    <t>ERNESTO</t>
  </si>
  <si>
    <t xml:space="preserve"> GUEVARA VARELA</t>
  </si>
  <si>
    <t>NATHALY DANIELA</t>
  </si>
  <si>
    <t>GONZÁLEZ VARELA</t>
  </si>
  <si>
    <t xml:space="preserve">DYLAN JHOSUET </t>
  </si>
  <si>
    <t xml:space="preserve"> DIAZ DE FLORES</t>
  </si>
  <si>
    <t>ANA JACQUELINE</t>
  </si>
  <si>
    <t xml:space="preserve"> SOSA FLORES</t>
  </si>
  <si>
    <t>MARIANGEL NICOLLE</t>
  </si>
  <si>
    <t>JOSÉ DAVID</t>
  </si>
  <si>
    <t>FLORES IZARRA</t>
  </si>
  <si>
    <t xml:space="preserve">OSWALDO ENRIQUE </t>
  </si>
  <si>
    <t>MIREYA DE JESÚS</t>
  </si>
  <si>
    <t xml:space="preserve"> RAMIREZ MIRANDA</t>
  </si>
  <si>
    <t>YAREMY MERCEDES</t>
  </si>
  <si>
    <t xml:space="preserve"> DÁVILA ALTUVE</t>
  </si>
  <si>
    <t>MIA ANTONELLA</t>
  </si>
  <si>
    <t xml:space="preserve"> MIRANDA CEGARRA</t>
  </si>
  <si>
    <t>CRISTHOPER SEBASTIAN</t>
  </si>
  <si>
    <t>DIEGO RAFAEL</t>
  </si>
  <si>
    <t>VERA VELASQUEZ</t>
  </si>
  <si>
    <t xml:space="preserve">HILDAMAR DEL VALLE </t>
  </si>
  <si>
    <t xml:space="preserve"> VILLARREAL VERA</t>
  </si>
  <si>
    <t>RANSES ENRRIQUE</t>
  </si>
  <si>
    <t xml:space="preserve"> VELASQUEZ VERA</t>
  </si>
  <si>
    <t>HILDA ROSA</t>
  </si>
  <si>
    <t>VERA ERAZO</t>
  </si>
  <si>
    <t xml:space="preserve">RIGOBERTO ENRIQUE </t>
  </si>
  <si>
    <t xml:space="preserve"> RIVERO</t>
  </si>
  <si>
    <t>JUAN CARLOS</t>
  </si>
  <si>
    <t xml:space="preserve"> RANGEL</t>
  </si>
  <si>
    <t>ANA LUISA</t>
  </si>
  <si>
    <t>DUGARTE RANGEL</t>
  </si>
  <si>
    <t xml:space="preserve">IMYI AIMAR </t>
  </si>
  <si>
    <t xml:space="preserve">DUGARTE RANGEL </t>
  </si>
  <si>
    <t>LUIYI JORDAN</t>
  </si>
  <si>
    <t xml:space="preserve"> RANGEL MARQUEZ</t>
  </si>
  <si>
    <t>DENYS DEL CARMEN</t>
  </si>
  <si>
    <t>DUGARTE PEÑA</t>
  </si>
  <si>
    <t xml:space="preserve">JIMMY ELIESER </t>
  </si>
  <si>
    <t xml:space="preserve"> PAREDES DE PEÑA</t>
  </si>
  <si>
    <t>GRICELDA</t>
  </si>
  <si>
    <t xml:space="preserve"> PEÑA ROJAS</t>
  </si>
  <si>
    <t>JOSÉ RAMIRO</t>
  </si>
  <si>
    <t xml:space="preserve"> PEÑA MOLINA</t>
  </si>
  <si>
    <t xml:space="preserve"> DÁVILA RODRÍGUEZ</t>
  </si>
  <si>
    <t xml:space="preserve">BENJAMIN </t>
  </si>
  <si>
    <t xml:space="preserve"> ZAMBRANO DE DÁVILA</t>
  </si>
  <si>
    <t>YOLANDA</t>
  </si>
  <si>
    <t>MORENO DE PEREZ</t>
  </si>
  <si>
    <t xml:space="preserve">BENILDE </t>
  </si>
  <si>
    <t>FERNÁNDEZ DE TORRES</t>
  </si>
  <si>
    <t xml:space="preserve">MARÍA DEL CARMEN </t>
  </si>
  <si>
    <t xml:space="preserve"> BOGARIN BRICEÑO</t>
  </si>
  <si>
    <t>JESSY ANTONIO</t>
  </si>
  <si>
    <t xml:space="preserve"> REINOZA DE MARQUEZ</t>
  </si>
  <si>
    <t>CARMEN MORELA</t>
  </si>
  <si>
    <t xml:space="preserve">YURAIMA </t>
  </si>
  <si>
    <t>VARILLAS MOLINA</t>
  </si>
  <si>
    <t xml:space="preserve">NANCY NORAIMA </t>
  </si>
  <si>
    <t xml:space="preserve"> BOGARIN VARILLAS</t>
  </si>
  <si>
    <t>VALERIA ALEJANDRA</t>
  </si>
  <si>
    <t>BOGARIN VARILLAS</t>
  </si>
  <si>
    <t xml:space="preserve">VICTOR ANDRÉS </t>
  </si>
  <si>
    <t xml:space="preserve">SEBASTIAN DAVID </t>
  </si>
  <si>
    <t>VICTORIA ANTONELA</t>
  </si>
  <si>
    <t xml:space="preserve"> MÁRQUEZ FERNÁNDEZ</t>
  </si>
  <si>
    <t>CESAR ALONSO</t>
  </si>
  <si>
    <t xml:space="preserve"> CONTRERAS MARQUEZ</t>
  </si>
  <si>
    <t>SANTIAGO ALFONSO</t>
  </si>
  <si>
    <t>MÁRQUEZ MOLINA</t>
  </si>
  <si>
    <t xml:space="preserve">RODOLFO ANTONIO </t>
  </si>
  <si>
    <t xml:space="preserve"> MÁRQUEZ MÁRQUEZ</t>
  </si>
  <si>
    <t>KAREN YURAILETH</t>
  </si>
  <si>
    <t xml:space="preserve"> PÉREZ DUGARTE</t>
  </si>
  <si>
    <t>EMIRO</t>
  </si>
  <si>
    <t>PEÑA DE MORENO</t>
  </si>
  <si>
    <t xml:space="preserve">ANA RITA </t>
  </si>
  <si>
    <t>PÉREZ MORENO</t>
  </si>
  <si>
    <t xml:space="preserve">EMILY KARINA </t>
  </si>
  <si>
    <t xml:space="preserve"> PÉREZ MORENO</t>
  </si>
  <si>
    <t>JESUS ENRIQUE</t>
  </si>
  <si>
    <t>ERIKA VALENTINA</t>
  </si>
  <si>
    <t xml:space="preserve"> TORRES SOSA</t>
  </si>
  <si>
    <t>IGNACIO</t>
  </si>
  <si>
    <t xml:space="preserve"> DUGARTE TORRES</t>
  </si>
  <si>
    <t>ELMIS YAMIER</t>
  </si>
  <si>
    <t xml:space="preserve"> TORRES ALBARRAN</t>
  </si>
  <si>
    <t>ARAAM ZACDIEL</t>
  </si>
  <si>
    <t>YONATHAN STEVEN</t>
  </si>
  <si>
    <t xml:space="preserve"> CERRADA VIELMA</t>
  </si>
  <si>
    <t>EDWAR EXOIN</t>
  </si>
  <si>
    <t xml:space="preserve"> QUIJADA ROSALES</t>
  </si>
  <si>
    <t>VICTOR MANUEL</t>
  </si>
  <si>
    <t xml:space="preserve"> ROMERO DE SANCHEZ</t>
  </si>
  <si>
    <t>ELVA ROSA</t>
  </si>
  <si>
    <t xml:space="preserve"> DUGARTE PEÑA</t>
  </si>
  <si>
    <t>OLEIDIS YOSELIN</t>
  </si>
  <si>
    <t xml:space="preserve"> PEÑA</t>
  </si>
  <si>
    <t>DULCE MARIA</t>
  </si>
  <si>
    <t xml:space="preserve"> PARRA CONTRERAS</t>
  </si>
  <si>
    <t>JUAN JAVIER</t>
  </si>
  <si>
    <t xml:space="preserve"> PARRA DUGARTE</t>
  </si>
  <si>
    <t>KILYAN GAEL</t>
  </si>
  <si>
    <t>PARRA DUGARTE</t>
  </si>
  <si>
    <t xml:space="preserve">KENAI KALEN </t>
  </si>
  <si>
    <t xml:space="preserve"> ROA MONTOYA</t>
  </si>
  <si>
    <t>MARIA PETRA</t>
  </si>
  <si>
    <t xml:space="preserve"> ROA SOTO</t>
  </si>
  <si>
    <t>DARLY MARENA</t>
  </si>
  <si>
    <t xml:space="preserve"> ROA PÉREZ</t>
  </si>
  <si>
    <t>KEINY ALIBETH</t>
  </si>
  <si>
    <t xml:space="preserve"> UZCATEGUI PEREIRA</t>
  </si>
  <si>
    <t>SUSEJ DAIMAR</t>
  </si>
  <si>
    <t>DAIRA MARIANA</t>
  </si>
  <si>
    <t>WUINKEL JOSÉ</t>
  </si>
  <si>
    <t xml:space="preserve"> PAREDES ROJAS</t>
  </si>
  <si>
    <t>PEDRO PABLO</t>
  </si>
  <si>
    <t xml:space="preserve"> ARAQUE DE PAREDES</t>
  </si>
  <si>
    <t>MARIA BERNARDA</t>
  </si>
  <si>
    <t xml:space="preserve"> SALCEDO VIELMA</t>
  </si>
  <si>
    <t>MAGDA YANITZA</t>
  </si>
  <si>
    <t xml:space="preserve"> CAPACHO MORA</t>
  </si>
  <si>
    <t>IVOGLIS  GREGORIA</t>
  </si>
  <si>
    <t xml:space="preserve"> DÁVILA CAPACHO</t>
  </si>
  <si>
    <t>SERGIO MIGUEL</t>
  </si>
  <si>
    <t xml:space="preserve"> MORA</t>
  </si>
  <si>
    <t>GLADIS GUIZA</t>
  </si>
  <si>
    <t xml:space="preserve">VIELMA DE FLORES </t>
  </si>
  <si>
    <t>ALBIS MARÍA</t>
  </si>
  <si>
    <t xml:space="preserve"> FLORES PUENTE</t>
  </si>
  <si>
    <t>JOSÉ ARMANDO</t>
  </si>
  <si>
    <t xml:space="preserve"> FLORES VIELMA</t>
  </si>
  <si>
    <t>JAIDER ALEXANDRO</t>
  </si>
  <si>
    <t xml:space="preserve">  ZAMBRANO ALTUVE</t>
  </si>
  <si>
    <t>ANTONY JOSE</t>
  </si>
  <si>
    <t>ZAMBRANO ALTUVE</t>
  </si>
  <si>
    <t xml:space="preserve">AILEEN GERMELY </t>
  </si>
  <si>
    <t xml:space="preserve"> FLORES</t>
  </si>
  <si>
    <t>ARANSA</t>
  </si>
  <si>
    <t xml:space="preserve">ACOSTA MARÍA </t>
  </si>
  <si>
    <t>URRUTIA BELEÑO</t>
  </si>
  <si>
    <t xml:space="preserve">EMEL </t>
  </si>
  <si>
    <t xml:space="preserve">MOLINA MÁRQUEZ </t>
  </si>
  <si>
    <t>MIREYA</t>
  </si>
  <si>
    <t>MIGUEL ALEJANDRO</t>
  </si>
  <si>
    <t>MÁRQUEZ CASTRO</t>
  </si>
  <si>
    <t xml:space="preserve">NELY JOSEFINA </t>
  </si>
  <si>
    <t xml:space="preserve"> SÁNCHEZ CADENAS</t>
  </si>
  <si>
    <t>EULOGIO</t>
  </si>
  <si>
    <t xml:space="preserve"> ROJAS DE HERNÁNDEZ</t>
  </si>
  <si>
    <t>ANA MIREYA</t>
  </si>
  <si>
    <t xml:space="preserve"> HERNÁNDEZ RAMÍREZ</t>
  </si>
  <si>
    <t>GODOY HERNÁNDEZ</t>
  </si>
  <si>
    <t xml:space="preserve">JOSÉ IGNACIO </t>
  </si>
  <si>
    <t xml:space="preserve"> GODOY HERNÁNDEZ</t>
  </si>
  <si>
    <t>JUAN MANUEL</t>
  </si>
  <si>
    <t>HERNÁNDEZ MOLINA</t>
  </si>
  <si>
    <t xml:space="preserve">DIEGO ANDRÉS </t>
  </si>
  <si>
    <t>HERNÁNDEZ COLMENAREZ</t>
  </si>
  <si>
    <t xml:space="preserve">CAMILA </t>
  </si>
  <si>
    <t xml:space="preserve"> OTALVARES</t>
  </si>
  <si>
    <t>ORLANDO</t>
  </si>
  <si>
    <t>ONTIVEROS DE OTALVARES</t>
  </si>
  <si>
    <t xml:space="preserve">ALIDA IDA </t>
  </si>
  <si>
    <t xml:space="preserve">VIELMA DE SALCEDO </t>
  </si>
  <si>
    <t>ALMA CLARA</t>
  </si>
  <si>
    <t xml:space="preserve"> SALCEDO PAREDES</t>
  </si>
  <si>
    <t>ARLET LUCIA</t>
  </si>
  <si>
    <t xml:space="preserve"> SALCEDO TORO</t>
  </si>
  <si>
    <t>MILAGROS NAZARETH</t>
  </si>
  <si>
    <t xml:space="preserve"> SALCEDO AVENDAÑO</t>
  </si>
  <si>
    <t>CAMILA VALENTINA</t>
  </si>
  <si>
    <t xml:space="preserve"> SALCEDO ABREU</t>
  </si>
  <si>
    <t>JOSE IGNACIO</t>
  </si>
  <si>
    <t>SALCEDO FERNANDEZ</t>
  </si>
  <si>
    <t xml:space="preserve">RONAL JOSUE </t>
  </si>
  <si>
    <t>MARQUEZ RIVAS</t>
  </si>
  <si>
    <t xml:space="preserve">ZULAY MARINA </t>
  </si>
  <si>
    <t xml:space="preserve"> RONDON RONDON</t>
  </si>
  <si>
    <t>RICHARD OSWALDO</t>
  </si>
  <si>
    <t xml:space="preserve"> RONDON AVILA</t>
  </si>
  <si>
    <t>RICARDO ANDRÉS</t>
  </si>
  <si>
    <t>RONDON AVILA</t>
  </si>
  <si>
    <t xml:space="preserve">ANTONI YOHAN </t>
  </si>
  <si>
    <t>KARIANNA JULIETA</t>
  </si>
  <si>
    <t xml:space="preserve">CALDERON MARQUEZ </t>
  </si>
  <si>
    <t>GLEXYS JHULIANA</t>
  </si>
  <si>
    <t>MÁRQUEZ RAMOS</t>
  </si>
  <si>
    <t xml:space="preserve">BELKIS MARÍA </t>
  </si>
  <si>
    <t xml:space="preserve"> BENITEZ ZAMBRANO</t>
  </si>
  <si>
    <t>YERFERSON ONIEL</t>
  </si>
  <si>
    <t xml:space="preserve"> DIAZ  CALDERÓN</t>
  </si>
  <si>
    <t>NICOLLE VALENTHINA</t>
  </si>
  <si>
    <t xml:space="preserve"> ARELLANO</t>
  </si>
  <si>
    <t>DULCE MILAGRO</t>
  </si>
  <si>
    <t>CAMACHO B.</t>
  </si>
  <si>
    <t xml:space="preserve">ABRAHAN J. </t>
  </si>
  <si>
    <t>BONOMIE V.</t>
  </si>
  <si>
    <t xml:space="preserve">ANDREA </t>
  </si>
  <si>
    <t xml:space="preserve">DANYS ALBEIRO </t>
  </si>
  <si>
    <t>PIÑA IZARRA</t>
  </si>
  <si>
    <t xml:space="preserve">ROSIROS DEL VALLE </t>
  </si>
  <si>
    <t>PAREDES MORENO</t>
  </si>
  <si>
    <t xml:space="preserve">DALIANA DAIRETH </t>
  </si>
  <si>
    <t>PAREDES PIÑA</t>
  </si>
  <si>
    <t>PUENTES PUENTES</t>
  </si>
  <si>
    <t xml:space="preserve">ISMELDA MARIA </t>
  </si>
  <si>
    <t xml:space="preserve"> MANRIQUE GUILLEN</t>
  </si>
  <si>
    <t>JOSE REYES</t>
  </si>
  <si>
    <t xml:space="preserve"> MANRIQUE PUENTES</t>
  </si>
  <si>
    <t>JESUS DAVID</t>
  </si>
  <si>
    <t>SIERRA PÉREZ</t>
  </si>
  <si>
    <t xml:space="preserve">AMELIA VICTORIA </t>
  </si>
  <si>
    <t>PEREZ</t>
  </si>
  <si>
    <t xml:space="preserve">DANIELA ISABEL </t>
  </si>
  <si>
    <t xml:space="preserve"> FLORES P.</t>
  </si>
  <si>
    <t>MARIA GUADALUPE</t>
  </si>
  <si>
    <t>ALARCON OVALLES</t>
  </si>
  <si>
    <t xml:space="preserve">AGALI EDEN </t>
  </si>
  <si>
    <t>ALARCON PEÑA</t>
  </si>
  <si>
    <t xml:space="preserve">AGABIO </t>
  </si>
  <si>
    <t>OVALLES RUIZ</t>
  </si>
  <si>
    <t xml:space="preserve">SIRA ANTONIA </t>
  </si>
  <si>
    <t>SANCHEZ ALARCÓN</t>
  </si>
  <si>
    <t xml:space="preserve">ESTEFANY PAOLA </t>
  </si>
  <si>
    <t>CASERES ARAUJO</t>
  </si>
  <si>
    <t xml:space="preserve">JOSE ALEXANDER </t>
  </si>
  <si>
    <t>OVIEDO SOTO</t>
  </si>
  <si>
    <t xml:space="preserve">YORGI ALFONSO </t>
  </si>
  <si>
    <t xml:space="preserve"> SOTO DE OVIEDO</t>
  </si>
  <si>
    <t>CARMEN ELENA</t>
  </si>
  <si>
    <t>OVIEDO ALBORNOZ</t>
  </si>
  <si>
    <t xml:space="preserve">ALFONSO </t>
  </si>
  <si>
    <t xml:space="preserve">YURAIMA JOSEFINA </t>
  </si>
  <si>
    <t xml:space="preserve"> OVIEDO PAREDES</t>
  </si>
  <si>
    <t>YORGINA YURIANI</t>
  </si>
  <si>
    <t>OVIEDO PAREDES</t>
  </si>
  <si>
    <t xml:space="preserve">YEORGE BRAYAN </t>
  </si>
  <si>
    <t>MORALES MUÑOZ</t>
  </si>
  <si>
    <t xml:space="preserve">JOSÉ DANIEL </t>
  </si>
  <si>
    <t>MUÑOZ DE MORALES</t>
  </si>
  <si>
    <t>BUENAÑOS MORENO</t>
  </si>
  <si>
    <t xml:space="preserve">MARGARITA DEL CARMEN </t>
  </si>
  <si>
    <t>TORO TORO</t>
  </si>
  <si>
    <t xml:space="preserve">MARISELA DEL CARMEN </t>
  </si>
  <si>
    <t>SANTIAGO PAREDES</t>
  </si>
  <si>
    <t xml:space="preserve">RAMON ANTONIO </t>
  </si>
  <si>
    <t>SANTIAGO TORO</t>
  </si>
  <si>
    <t xml:space="preserve">YULEIZY DEL CARMEN </t>
  </si>
  <si>
    <t xml:space="preserve">KARELYS CAROLINA </t>
  </si>
  <si>
    <t xml:space="preserve"> TORO TORO</t>
  </si>
  <si>
    <t>GERVIS TERECIO</t>
  </si>
  <si>
    <t>MONTILVA ROSALES</t>
  </si>
  <si>
    <t xml:space="preserve">MARINA DEL CARMEN </t>
  </si>
  <si>
    <t xml:space="preserve"> TORO</t>
  </si>
  <si>
    <t>CAMILA GEIMAR</t>
  </si>
  <si>
    <t>PARRA UZCATEGUI</t>
  </si>
  <si>
    <t xml:space="preserve">IVAN YSIDRO </t>
  </si>
  <si>
    <t>PAREDES YZARRA</t>
  </si>
  <si>
    <t xml:space="preserve">GABRIELA DEL CARMEN </t>
  </si>
  <si>
    <t>PARRA ROJAS</t>
  </si>
  <si>
    <t xml:space="preserve">ISAAC DANIEL </t>
  </si>
  <si>
    <t>ZERPA PAREDES</t>
  </si>
  <si>
    <t xml:space="preserve">JOHALY  GABRIEL </t>
  </si>
  <si>
    <t xml:space="preserve">VICTORIA ALEJANDRA </t>
  </si>
  <si>
    <t>UZCATEGUI MEZA</t>
  </si>
  <si>
    <t xml:space="preserve">JENNIFER CAROLINA </t>
  </si>
  <si>
    <t xml:space="preserve"> UZCATEGUI PEÑA</t>
  </si>
  <si>
    <t>FULGENCIO RAMON</t>
  </si>
  <si>
    <t xml:space="preserve"> MEZA SANTIAGO</t>
  </si>
  <si>
    <t>GLEDIS COROMOTO</t>
  </si>
  <si>
    <t xml:space="preserve"> VALERO UZCATEGUI</t>
  </si>
  <si>
    <t>FRANCISCO GABRIEL</t>
  </si>
  <si>
    <t>VALERA UZCATEGUI.</t>
  </si>
  <si>
    <t xml:space="preserve">ABRAHAM RAZZIEL </t>
  </si>
  <si>
    <t>UZCATEGUI MESA</t>
  </si>
  <si>
    <t xml:space="preserve">ABRIL SAMARA </t>
  </si>
  <si>
    <t xml:space="preserve"> PIRELA MORILLO</t>
  </si>
  <si>
    <t>DELIA JOSEFINA</t>
  </si>
  <si>
    <t>PAOLINI</t>
  </si>
  <si>
    <t xml:space="preserve">ALFREDO ANTONIO </t>
  </si>
  <si>
    <t xml:space="preserve"> PAOLINI ESTRADA</t>
  </si>
  <si>
    <t>STEVEN ANDRÉS</t>
  </si>
  <si>
    <t>PAOLINI BASABE</t>
  </si>
  <si>
    <t xml:space="preserve">EMIR SANTIAGO </t>
  </si>
  <si>
    <t>TORO</t>
  </si>
  <si>
    <t xml:space="preserve">ALFREDO RAMÓN </t>
  </si>
  <si>
    <t xml:space="preserve"> CALA</t>
  </si>
  <si>
    <t>MIRIAM</t>
  </si>
  <si>
    <t>QUINTERO PEÑA</t>
  </si>
  <si>
    <t xml:space="preserve">ALDO JOSE </t>
  </si>
  <si>
    <t xml:space="preserve"> QUINTERO PAREDES</t>
  </si>
  <si>
    <t>AUDELINO</t>
  </si>
  <si>
    <t>PEÑA DE QUINTERO</t>
  </si>
  <si>
    <t xml:space="preserve">MARÍA ANTONIA </t>
  </si>
  <si>
    <t>PUENTES</t>
  </si>
  <si>
    <t xml:space="preserve">YVAN ALIRIO </t>
  </si>
  <si>
    <t xml:space="preserve"> GUERRERO MÁRQUEZ</t>
  </si>
  <si>
    <t>ROSAURA</t>
  </si>
  <si>
    <t xml:space="preserve"> PUENTES GUERRERO</t>
  </si>
  <si>
    <t>JENNIFER GABRIELA</t>
  </si>
  <si>
    <t>MOLINA PUENTES</t>
  </si>
  <si>
    <t xml:space="preserve">MARCOS IGNACIO </t>
  </si>
  <si>
    <t>AVENDAÑO ROJAS</t>
  </si>
  <si>
    <t xml:space="preserve">NERIA DEL CARMEN </t>
  </si>
  <si>
    <t xml:space="preserve"> ROJAS ROJAS</t>
  </si>
  <si>
    <t>EMETERIO</t>
  </si>
  <si>
    <t>DUGARTE ROJAS</t>
  </si>
  <si>
    <t xml:space="preserve">LIZ MARIANYI </t>
  </si>
  <si>
    <t xml:space="preserve"> DUGARTE ROJAS</t>
  </si>
  <si>
    <t>HERLIN JESÚS</t>
  </si>
  <si>
    <t>CARMONA ROJAS</t>
  </si>
  <si>
    <t xml:space="preserve">NEIMER ISAAC </t>
  </si>
  <si>
    <t>ROJAS DUGARTE</t>
  </si>
  <si>
    <t xml:space="preserve">RENNY SANTIAGO </t>
  </si>
  <si>
    <t xml:space="preserve"> CARMONA ROJAS</t>
  </si>
  <si>
    <t>SAHIRY GUADALUPE</t>
  </si>
  <si>
    <t xml:space="preserve"> GONZÁLEZ MALDONADO</t>
  </si>
  <si>
    <t>CRISTEFANI CAROLINA</t>
  </si>
  <si>
    <t>BARRAGAN GONZÁLEZ</t>
  </si>
  <si>
    <t xml:space="preserve">CRISTINA ALEJANDRA </t>
  </si>
  <si>
    <t xml:space="preserve">NEIVER JOSÉ </t>
  </si>
  <si>
    <t>ROJAS AVENDAÑO</t>
  </si>
  <si>
    <t>MALDONADO DE GONZÁLEZ</t>
  </si>
  <si>
    <t xml:space="preserve">MARÍA CRISTINA </t>
  </si>
  <si>
    <t xml:space="preserve"> CHOURIO OLIVEROS</t>
  </si>
  <si>
    <t xml:space="preserve"> YZARRA CHOURIO</t>
  </si>
  <si>
    <t>EDERSON JAVIER</t>
  </si>
  <si>
    <t>ARAQUE ESCALONA</t>
  </si>
  <si>
    <t xml:space="preserve">JULIANA </t>
  </si>
  <si>
    <t>RONDON ESPINOZA</t>
  </si>
  <si>
    <t xml:space="preserve">YONEIVER IGNACIO </t>
  </si>
  <si>
    <t>RANGEL E.</t>
  </si>
  <si>
    <t xml:space="preserve">YORDANNY JOSUE </t>
  </si>
  <si>
    <t>QUINTERO E.</t>
  </si>
  <si>
    <t xml:space="preserve">EMMA SALOME </t>
  </si>
  <si>
    <t>CEDEÑO CHOURIO</t>
  </si>
  <si>
    <t xml:space="preserve">NESTOR LUIS  </t>
  </si>
  <si>
    <t>ESTRADA DE CEDEÑO</t>
  </si>
  <si>
    <t xml:space="preserve">ISMENIA MARGARITA </t>
  </si>
  <si>
    <t xml:space="preserve"> CEDEÑO BASABE</t>
  </si>
  <si>
    <t>NOGLIAINIS ARMEIDA</t>
  </si>
  <si>
    <t>CEDEÑO BASABE</t>
  </si>
  <si>
    <t xml:space="preserve">NORBELIS PATRICIA </t>
  </si>
  <si>
    <t>CEDEÑO ESTRADA</t>
  </si>
  <si>
    <t xml:space="preserve">NORDALYS GREGORIA </t>
  </si>
  <si>
    <t>CHIRNOS CEDEÑO</t>
  </si>
  <si>
    <t xml:space="preserve">OSMARIELYS MARGARITA </t>
  </si>
  <si>
    <t xml:space="preserve"> ROSALES DE CARRERO</t>
  </si>
  <si>
    <t>VIRGINIA</t>
  </si>
  <si>
    <t xml:space="preserve"> CARRERO CONTRERAS</t>
  </si>
  <si>
    <t>CARLOS VALMORE</t>
  </si>
  <si>
    <t xml:space="preserve"> CARRERO</t>
  </si>
  <si>
    <t>SHEIUN NOGNI HAIFA</t>
  </si>
  <si>
    <t>CARLOS EDUARDO</t>
  </si>
  <si>
    <t>CARRERO</t>
  </si>
  <si>
    <t xml:space="preserve">LANIA DIMENA </t>
  </si>
  <si>
    <t xml:space="preserve">AMANDA ISABELLA </t>
  </si>
  <si>
    <t>PAREDES GONZALEZ</t>
  </si>
  <si>
    <t xml:space="preserve">MARLENE DEL CARMEN </t>
  </si>
  <si>
    <t>ZERPA SANTIAGO</t>
  </si>
  <si>
    <t xml:space="preserve">FRANCYS DANIELA </t>
  </si>
  <si>
    <t>SANTIAGO ROJAS</t>
  </si>
  <si>
    <t xml:space="preserve">BRAYAN JOSUÉ </t>
  </si>
  <si>
    <t xml:space="preserve">PAULA ANDREA </t>
  </si>
  <si>
    <t>SANTIAGO CASTILLO</t>
  </si>
  <si>
    <t xml:space="preserve">MILENNA ANGELINE </t>
  </si>
  <si>
    <t xml:space="preserve"> HERNÁNDEZ LEÓN </t>
  </si>
  <si>
    <t>CARLOS ALBERTO</t>
  </si>
  <si>
    <t>MORALES MÁRQUEZ</t>
  </si>
  <si>
    <t xml:space="preserve">ALBA COROMOTO </t>
  </si>
  <si>
    <t>CARRERO Z</t>
  </si>
  <si>
    <t xml:space="preserve">IVANNA J. </t>
  </si>
  <si>
    <t xml:space="preserve"> CARRERO Z.</t>
  </si>
  <si>
    <t>SAMUEL J.</t>
  </si>
  <si>
    <t>GUILLEN C.</t>
  </si>
  <si>
    <t xml:space="preserve">ANASTASIA S. </t>
  </si>
  <si>
    <t xml:space="preserve"> CONTRERAS DE MARQUEZ</t>
  </si>
  <si>
    <t>ALIX DEL SOCORRO</t>
  </si>
  <si>
    <t xml:space="preserve">SOPHYA </t>
  </si>
  <si>
    <t xml:space="preserve">BRIHANA ANTONELLA </t>
  </si>
  <si>
    <t>MÁRQUEZ CONTRERAS</t>
  </si>
  <si>
    <t xml:space="preserve">ADELA YANILEX </t>
  </si>
  <si>
    <t xml:space="preserve"> VIELMA RUIZ</t>
  </si>
  <si>
    <t>MARY GORETTI</t>
  </si>
  <si>
    <t xml:space="preserve"> MILLAN DUGARTE</t>
  </si>
  <si>
    <t>DIEGO ALEJANDRO</t>
  </si>
  <si>
    <t>ADA LELIS</t>
  </si>
  <si>
    <t xml:space="preserve"> HUIZA DE CARRERO</t>
  </si>
  <si>
    <t>OLIVA</t>
  </si>
  <si>
    <t xml:space="preserve"> GUILLEN C.</t>
  </si>
  <si>
    <t>SEBASTIAN D.</t>
  </si>
  <si>
    <t>CHUECOS RIVERO</t>
  </si>
  <si>
    <t xml:space="preserve">CARLOS LUIS </t>
  </si>
  <si>
    <t>PAREDES SILVA</t>
  </si>
  <si>
    <t xml:space="preserve">MARISABEL </t>
  </si>
  <si>
    <t>FLORES CONTRERAS</t>
  </si>
  <si>
    <t xml:space="preserve">LEIDY KAROL </t>
  </si>
  <si>
    <t xml:space="preserve"> CHUECOS FLORES </t>
  </si>
  <si>
    <t>JULIAN IGNACIO</t>
  </si>
  <si>
    <t>PAREDES ROJAS</t>
  </si>
  <si>
    <t xml:space="preserve"> MARINO</t>
  </si>
  <si>
    <t xml:space="preserve">TORRES DE PAREDES </t>
  </si>
  <si>
    <t>BETILDE</t>
  </si>
  <si>
    <t xml:space="preserve">PAREDES BALZA </t>
  </si>
  <si>
    <t>ANGEL DAVID</t>
  </si>
  <si>
    <t xml:space="preserve">PAREDES ESCALONA </t>
  </si>
  <si>
    <t>DANIEL ALEJANDRO</t>
  </si>
  <si>
    <t xml:space="preserve">GONZÁLEZ PAREDES </t>
  </si>
  <si>
    <t>NICOL NAZARETH</t>
  </si>
  <si>
    <t>PAREDES ESCALONA</t>
  </si>
  <si>
    <t xml:space="preserve"> JESÚS ANDRÉS</t>
  </si>
  <si>
    <t>SANTIAGO I</t>
  </si>
  <si>
    <t xml:space="preserve">DULCE SULEMA </t>
  </si>
  <si>
    <t>SÁNCHEZ</t>
  </si>
  <si>
    <t>OSUNA</t>
  </si>
  <si>
    <t>OSUNA M.</t>
  </si>
  <si>
    <t xml:space="preserve">YULIET ANDREA </t>
  </si>
  <si>
    <t xml:space="preserve">YULIAN YVANNET </t>
  </si>
  <si>
    <t xml:space="preserve">GLORIA TERESA </t>
  </si>
  <si>
    <t>HERNÁNDEZ M.</t>
  </si>
  <si>
    <t xml:space="preserve">EDILFA MARÍA </t>
  </si>
  <si>
    <t>CONTRERAS DE C.</t>
  </si>
  <si>
    <t xml:space="preserve">ANA FLOR </t>
  </si>
  <si>
    <t>CARRERO P.</t>
  </si>
  <si>
    <t xml:space="preserve">RAMON ANDRES </t>
  </si>
  <si>
    <t>MOLINA C.</t>
  </si>
  <si>
    <t xml:space="preserve">OSNEIRY A. </t>
  </si>
  <si>
    <t>YOJAN DANIEL C.</t>
  </si>
  <si>
    <t xml:space="preserve"> CONTRERA C.</t>
  </si>
  <si>
    <t>SOPHIA D.</t>
  </si>
  <si>
    <t>QUINTERO C.</t>
  </si>
  <si>
    <t xml:space="preserve">DEYRHANA V. </t>
  </si>
  <si>
    <t xml:space="preserve"> SANABRIA ACUÑA</t>
  </si>
  <si>
    <t>HINOVA Y.</t>
  </si>
  <si>
    <t>ANGULO S.</t>
  </si>
  <si>
    <t xml:space="preserve">MARÍA A. </t>
  </si>
  <si>
    <t>MOLINA CARRERO</t>
  </si>
  <si>
    <t xml:space="preserve"> DIOMIRA</t>
  </si>
  <si>
    <t>ROJAS</t>
  </si>
  <si>
    <t xml:space="preserve">FLOR MARÍA </t>
  </si>
  <si>
    <t xml:space="preserve"> ESPINOZA TORO</t>
  </si>
  <si>
    <t>DAYANA DEL C.</t>
  </si>
  <si>
    <t xml:space="preserve"> RONDÓN</t>
  </si>
  <si>
    <t>CLERMAN JOSÉ</t>
  </si>
  <si>
    <t>MESA ESPINOZA</t>
  </si>
  <si>
    <t xml:space="preserve">NELIAN DAYANI </t>
  </si>
  <si>
    <t>AVENDAÑO PEÑA</t>
  </si>
  <si>
    <t xml:space="preserve">ANADERLYS </t>
  </si>
  <si>
    <t>MOLINA GÁMEZ</t>
  </si>
  <si>
    <t xml:space="preserve"> LUZMAYELI</t>
  </si>
  <si>
    <t xml:space="preserve">GAMEZ DE M. </t>
  </si>
  <si>
    <t>MARIA E. C.</t>
  </si>
  <si>
    <t xml:space="preserve">MOLINA M. </t>
  </si>
  <si>
    <t>ANDREA A.</t>
  </si>
  <si>
    <t xml:space="preserve"> MARÍA A.</t>
  </si>
  <si>
    <t>XAVI A.T</t>
  </si>
  <si>
    <t xml:space="preserve"> RONDÓN MÁRQUEZ</t>
  </si>
  <si>
    <t>MARÍA TIBISAY</t>
  </si>
  <si>
    <t xml:space="preserve"> RUIZ RONDON</t>
  </si>
  <si>
    <t>NICOLLE ISABELLA</t>
  </si>
  <si>
    <t xml:space="preserve"> LEÓN</t>
  </si>
  <si>
    <t>WINDER JOSÉ</t>
  </si>
  <si>
    <t xml:space="preserve">MORALES GARCIA </t>
  </si>
  <si>
    <t>DORA ELENA</t>
  </si>
  <si>
    <t xml:space="preserve">SUA DE DELGADO </t>
  </si>
  <si>
    <t>FANY YAJAIRA</t>
  </si>
  <si>
    <t>DELGADO ZAMBRANO</t>
  </si>
  <si>
    <t xml:space="preserve"> KARLA FABIAGNNY</t>
  </si>
  <si>
    <t xml:space="preserve">ALDANA NEIRA </t>
  </si>
  <si>
    <t>EDILSA</t>
  </si>
  <si>
    <t>ARAUJO DELGADO</t>
  </si>
  <si>
    <t>ELISA ISABELLA</t>
  </si>
  <si>
    <t xml:space="preserve">CONTRERAS </t>
  </si>
  <si>
    <t>YANETT C.</t>
  </si>
  <si>
    <t>LACRUZ DE CADENAS</t>
  </si>
  <si>
    <t xml:space="preserve"> LESBIA</t>
  </si>
  <si>
    <t xml:space="preserve">GOMEZ CEBALLOS </t>
  </si>
  <si>
    <t>LISBETH COROMOTO</t>
  </si>
  <si>
    <t xml:space="preserve">PEÑA SALAZAR </t>
  </si>
  <si>
    <t>ISAURO</t>
  </si>
  <si>
    <t xml:space="preserve">DAVILA PEÑA </t>
  </si>
  <si>
    <t>LISMAR JIMENA</t>
  </si>
  <si>
    <t xml:space="preserve">MERCADO PEÑA </t>
  </si>
  <si>
    <t>LISVANA VALENTINA</t>
  </si>
  <si>
    <t>MARQUEZ</t>
  </si>
  <si>
    <t xml:space="preserve">DULCE CAROLINA </t>
  </si>
  <si>
    <t xml:space="preserve">MARQUEZ PERNIA </t>
  </si>
  <si>
    <t xml:space="preserve">LIBIA </t>
  </si>
  <si>
    <t xml:space="preserve">QUINTERO HERNANDEZ </t>
  </si>
  <si>
    <t>JOSE FEDERICO</t>
  </si>
  <si>
    <t xml:space="preserve">MEJIAS MARQUEZ CLORY </t>
  </si>
  <si>
    <t>FABIANA NAZARETH</t>
  </si>
  <si>
    <t xml:space="preserve">QUINTERO MARQUEZ </t>
  </si>
  <si>
    <t>ISMAEL CAMILO</t>
  </si>
  <si>
    <t>LUCAS JEREMIAS</t>
  </si>
  <si>
    <t>ARISMENDI ALBARRAN</t>
  </si>
  <si>
    <t xml:space="preserve"> FRANCISCO JOSÉ</t>
  </si>
  <si>
    <t xml:space="preserve">CALLES DE ARISMENDI </t>
  </si>
  <si>
    <t>FANNY</t>
  </si>
  <si>
    <t>SANCHEZ RODRIGUEZ</t>
  </si>
  <si>
    <t xml:space="preserve"> ANGELICA MARÍA</t>
  </si>
  <si>
    <t xml:space="preserve">GUILLEN SANCHEZ </t>
  </si>
  <si>
    <t>JECSUA SANTIAGO</t>
  </si>
  <si>
    <t>WILLANGEL JOSÉ</t>
  </si>
  <si>
    <t>GUILLEN PEREIRA</t>
  </si>
  <si>
    <t xml:space="preserve"> WILLIAMS JOSÉ</t>
  </si>
  <si>
    <t>GUILLEN SANCHEZ</t>
  </si>
  <si>
    <t xml:space="preserve"> IAN SAID</t>
  </si>
  <si>
    <t xml:space="preserve"> IAN SAMUEL</t>
  </si>
  <si>
    <t>ALBARRAN BONOMIE</t>
  </si>
  <si>
    <t>ARIADNNA ISABELLA</t>
  </si>
  <si>
    <t>DARIANNA MONSERRAT</t>
  </si>
  <si>
    <t xml:space="preserve"> BONOMIE A.</t>
  </si>
  <si>
    <t>20197168-1</t>
  </si>
  <si>
    <t>6534634-1</t>
  </si>
  <si>
    <t>8043053-1</t>
  </si>
  <si>
    <t>5205278-1</t>
  </si>
  <si>
    <t>5205278-2</t>
  </si>
  <si>
    <t>11466856-1</t>
  </si>
  <si>
    <t>11466856-2</t>
  </si>
  <si>
    <t>5198051-1</t>
  </si>
  <si>
    <t>11952451-1</t>
  </si>
  <si>
    <t>11952451-2</t>
  </si>
  <si>
    <t>16443135-1</t>
  </si>
  <si>
    <t>16443135-2</t>
  </si>
  <si>
    <t>16443135-3</t>
  </si>
  <si>
    <t>7650297-1</t>
  </si>
  <si>
    <t>7650297-2</t>
  </si>
  <si>
    <t>7650297-3</t>
  </si>
  <si>
    <t>7650297-4</t>
  </si>
  <si>
    <t>4484943-1</t>
  </si>
  <si>
    <t>4484943-2</t>
  </si>
  <si>
    <t>10102380-1</t>
  </si>
  <si>
    <t>10102380-2</t>
  </si>
  <si>
    <t>5581280-1</t>
  </si>
  <si>
    <t>5581280-2</t>
  </si>
  <si>
    <t>11951863-1</t>
  </si>
  <si>
    <t>11951863-2</t>
  </si>
  <si>
    <t>11951863-3</t>
  </si>
  <si>
    <t>7647966-1</t>
  </si>
  <si>
    <t>14530328-1</t>
  </si>
  <si>
    <t>9102770-1</t>
  </si>
  <si>
    <t>9102770-2</t>
  </si>
  <si>
    <t>8071350-1</t>
  </si>
  <si>
    <t>8071350-2</t>
  </si>
  <si>
    <t>16657998-1</t>
  </si>
  <si>
    <t>7940284-1</t>
  </si>
  <si>
    <t>7940284-2</t>
  </si>
  <si>
    <t>12048750-1</t>
  </si>
  <si>
    <t>12048750-2</t>
  </si>
  <si>
    <t>25793139-1</t>
  </si>
  <si>
    <t>25793139-2</t>
  </si>
  <si>
    <t>5511778-1</t>
  </si>
  <si>
    <t>9023776-1</t>
  </si>
  <si>
    <t>9023776-2</t>
  </si>
  <si>
    <t>3941089-1</t>
  </si>
  <si>
    <t>3036828-1</t>
  </si>
  <si>
    <t>22658783-1</t>
  </si>
  <si>
    <t>9199189-1</t>
  </si>
  <si>
    <t>9199189-2</t>
  </si>
  <si>
    <t>11952703-1</t>
  </si>
  <si>
    <t>SOFIA VALENTINA</t>
  </si>
  <si>
    <t>9397809-1</t>
  </si>
  <si>
    <t>9397809-2</t>
  </si>
  <si>
    <t>12353698-1</t>
  </si>
  <si>
    <t>10713821-1</t>
  </si>
  <si>
    <t>23442198-1</t>
  </si>
  <si>
    <t>23442198-2</t>
  </si>
  <si>
    <t>9176975-1</t>
  </si>
  <si>
    <t>9176975-2</t>
  </si>
  <si>
    <t>8083714-1</t>
  </si>
  <si>
    <t>11461179-1</t>
  </si>
  <si>
    <t>11461179-2</t>
  </si>
  <si>
    <t>11461179-3</t>
  </si>
  <si>
    <t>11461179-4</t>
  </si>
  <si>
    <t>7940181-1</t>
  </si>
  <si>
    <t>5041750-1</t>
  </si>
  <si>
    <t>5041750-2</t>
  </si>
  <si>
    <t>5041750-3</t>
  </si>
  <si>
    <t>8087981-1</t>
  </si>
  <si>
    <t>8087981-2</t>
  </si>
  <si>
    <t>7648249-1</t>
  </si>
  <si>
    <t>8073802-1</t>
  </si>
  <si>
    <t>8073802-2</t>
  </si>
  <si>
    <t>11461956-1</t>
  </si>
  <si>
    <t>19146497-1</t>
  </si>
  <si>
    <t>5198523-1</t>
  </si>
  <si>
    <t>10899995-1</t>
  </si>
  <si>
    <t>10899995-2</t>
  </si>
  <si>
    <t>8085901-1</t>
  </si>
  <si>
    <t>8085901-2</t>
  </si>
  <si>
    <t>8085901-3</t>
  </si>
  <si>
    <t>26931043-1</t>
  </si>
  <si>
    <t>8713717-1</t>
  </si>
  <si>
    <t>10239486-1</t>
  </si>
  <si>
    <t>10239486-2</t>
  </si>
  <si>
    <t>15174353-1</t>
  </si>
  <si>
    <t>18308521-1</t>
  </si>
  <si>
    <t>18308521-2</t>
  </si>
  <si>
    <t>CARMEN TERESA</t>
  </si>
  <si>
    <t>JOSEFA DEL CARMEN</t>
  </si>
  <si>
    <t>VIELMA D JESUS</t>
  </si>
  <si>
    <t>ANGEL FABIAN</t>
  </si>
  <si>
    <t xml:space="preserve">VIELMA D JESUS </t>
  </si>
  <si>
    <t>JESUS ANDRES</t>
  </si>
  <si>
    <t xml:space="preserve">VIELMA MORENO </t>
  </si>
  <si>
    <t>VIANNY CRISTINA</t>
  </si>
  <si>
    <t>CALDERON FERNANDEZ</t>
  </si>
  <si>
    <t>RIVAS CALDERON</t>
  </si>
  <si>
    <t>CUEVAS RTAMIREZ</t>
  </si>
  <si>
    <t>OMER ALEJANDRO</t>
  </si>
  <si>
    <t>TORO QUINTERO</t>
  </si>
  <si>
    <t>ERIBER YULIMAR</t>
  </si>
  <si>
    <t>CUEVAS TORO</t>
  </si>
  <si>
    <t>MANUEL A.</t>
  </si>
  <si>
    <t>CUEVAS VERGARA</t>
  </si>
  <si>
    <t>BONIFACIO</t>
  </si>
  <si>
    <t>RAMIREZ B.</t>
  </si>
  <si>
    <t>MARIA SILINA</t>
  </si>
  <si>
    <t>GUILLERMINA</t>
  </si>
  <si>
    <t>PAREDES LOBO</t>
  </si>
  <si>
    <t>MATIAS ALEJANDRO</t>
  </si>
  <si>
    <t>GALVIZ PEÑA</t>
  </si>
  <si>
    <t xml:space="preserve">AVENDAÑO </t>
  </si>
  <si>
    <t>AVENDAÑO  PEÑA</t>
  </si>
  <si>
    <t>MIGUEL ANGEL</t>
  </si>
  <si>
    <t>MARIANGEL SOFIA</t>
  </si>
  <si>
    <t>COMEZAQUIRA CONTRERAS</t>
  </si>
  <si>
    <t>ALONDRA NAZARETH</t>
  </si>
  <si>
    <t>CARRERO M</t>
  </si>
  <si>
    <t>ELIS MARINO</t>
  </si>
  <si>
    <t xml:space="preserve">RANGEL C. </t>
  </si>
  <si>
    <t>ANDREA CAMILA</t>
  </si>
  <si>
    <t>PABLO ALEJANDRO</t>
  </si>
  <si>
    <t>ANDRES SEBASTIAN</t>
  </si>
  <si>
    <t xml:space="preserve">CARRERO CONTRERAS </t>
  </si>
  <si>
    <t>THOMAS A.</t>
  </si>
  <si>
    <t xml:space="preserve"> CHUECOS PAREDES</t>
  </si>
  <si>
    <t>JULIO CESAR</t>
  </si>
  <si>
    <t>MARIA GREGORIA</t>
  </si>
  <si>
    <t xml:space="preserve"> LOBO DE PLAZA</t>
  </si>
  <si>
    <t xml:space="preserve"> PLAZA HERNANDEZ</t>
  </si>
  <si>
    <t>CUSTODIO ALFREDO</t>
  </si>
  <si>
    <t xml:space="preserve"> MIRANDA MOLINA</t>
  </si>
  <si>
    <t>MÁRQUEZ REINOZA</t>
  </si>
  <si>
    <t>MARIA GRISELDA</t>
  </si>
  <si>
    <t>CLAUDIO</t>
  </si>
  <si>
    <t xml:space="preserve">APELLIDOS </t>
  </si>
  <si>
    <t>NOMBRES</t>
  </si>
  <si>
    <t>FN</t>
  </si>
  <si>
    <t>CEDULA</t>
  </si>
  <si>
    <t>EDO CIVIL</t>
  </si>
  <si>
    <t>PARENTESCO</t>
  </si>
  <si>
    <t>HERRERA DUGARTE</t>
  </si>
  <si>
    <t>CAMILA</t>
  </si>
  <si>
    <t>SEBASTIAN</t>
  </si>
  <si>
    <t xml:space="preserve">CHRISTIAN </t>
  </si>
  <si>
    <t>SERGIO</t>
  </si>
  <si>
    <t>EDILCIA</t>
  </si>
  <si>
    <t xml:space="preserve">PEÑA P. </t>
  </si>
  <si>
    <t>EMERITH KRISEL</t>
  </si>
  <si>
    <t>RODRIGUEZ P.</t>
  </si>
  <si>
    <t>ESTEFANY P.</t>
  </si>
  <si>
    <t>CALDERON</t>
  </si>
  <si>
    <t>JAVIER A.</t>
  </si>
  <si>
    <t>PEDRO</t>
  </si>
  <si>
    <t>EMERITA</t>
  </si>
  <si>
    <t>PAREDES</t>
  </si>
  <si>
    <t>MEJIAS PARRA</t>
  </si>
  <si>
    <t>GUTIERREZ B.</t>
  </si>
  <si>
    <t>EDGARDO C.</t>
  </si>
  <si>
    <t xml:space="preserve">GUEVARA P. </t>
  </si>
  <si>
    <t>JEREMY J.</t>
  </si>
  <si>
    <t xml:space="preserve">ARIAS ZERPA </t>
  </si>
  <si>
    <t>RONDON DE MENDEZ</t>
  </si>
  <si>
    <t>ZARA ANGELINA</t>
  </si>
  <si>
    <t>MENDEZ</t>
  </si>
  <si>
    <t>GERARDO MARIA</t>
  </si>
  <si>
    <t>VIVAS MENDEZ</t>
  </si>
  <si>
    <t>DIEGO EDEN</t>
  </si>
  <si>
    <t>VARGAS M</t>
  </si>
  <si>
    <t>ZOC MONZERRA</t>
  </si>
  <si>
    <t>QUINTERO</t>
  </si>
  <si>
    <t>JUAN C.</t>
  </si>
  <si>
    <t>MARIA L</t>
  </si>
  <si>
    <t>ROJAS DE V</t>
  </si>
  <si>
    <t>MARIA L.</t>
  </si>
  <si>
    <t>ROJAS DE VILLEGAS</t>
  </si>
  <si>
    <t>MARIA LINA</t>
  </si>
  <si>
    <t>GENERO</t>
  </si>
  <si>
    <t>DIRECCION</t>
  </si>
  <si>
    <t>Tlf Móvil</t>
  </si>
  <si>
    <t>Email</t>
  </si>
  <si>
    <t>Comentraio</t>
  </si>
  <si>
    <t>6578318-1</t>
  </si>
  <si>
    <t>9494350-1</t>
  </si>
  <si>
    <t>9050716-1</t>
  </si>
  <si>
    <t>9050716-2</t>
  </si>
  <si>
    <t>8007479-1</t>
  </si>
  <si>
    <t>8007479-2</t>
  </si>
  <si>
    <t>5197602-1</t>
  </si>
  <si>
    <t>MOLINA MARQUEZ</t>
  </si>
  <si>
    <t>CONYUGUE MASCULINO</t>
  </si>
  <si>
    <t>CONYUGUE FEMENINO SIN MATERNIDAD</t>
  </si>
  <si>
    <t>BENEFICIARIO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</si>
</sst>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 * #,##0.00_ ;_ * \-#,##0.00_ ;_ * \-??_ ;_ @_ "/>
    <numFmt numFmtId="166" formatCode="_(&quot;Bs &quot;* #,##0.00_);_(&quot;Bs &quot;* \(#,##0.00\);_(&quot;Bs &quot;* \-??_);_(@_)"/>
    <numFmt numFmtId="167" formatCode="_-* #,##0.00\ _€_-;\-* #,##0.00\ _€_-;_-* \-??\ _€_-;_-@_-"/>
    <numFmt numFmtId="168" formatCode="dd/mm/yyyy;@"/>
  </numFmts>
  <fonts count="10" x14ac:knownFonts="1"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color indexed="9"/>
      <name val="Calibri"/>
      <family val="2"/>
    </font>
    <font>
      <sz val="10"/>
      <color indexed="26"/>
      <name val="Calibri"/>
      <family val="2"/>
    </font>
    <font>
      <sz val="11"/>
      <color rgb="FF000000"/>
      <name val="Calibri"/>
      <family val="2"/>
    </font>
    <font>
      <sz val="12"/>
      <color theme="0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23"/>
        <b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5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0"/>
        <bgColor indexed="64"/>
      </patternFill>
    </fill>
  </fills>
  <borders count="6">
    <border>
      <start/>
      <end/>
      <top/>
      <bottom/>
      <diagonal/>
    </border>
    <border>
      <start style="thin">
        <color indexed="22"/>
      </start>
      <end style="thin">
        <color indexed="22"/>
      </end>
      <top style="thin">
        <color indexed="22"/>
      </top>
      <bottom style="thin">
        <color indexed="22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/>
      <diagonal/>
    </border>
    <border>
      <start style="thin">
        <color indexed="8"/>
      </start>
      <end/>
      <top style="thin">
        <color indexed="8"/>
      </top>
      <bottom/>
      <diagonal/>
    </border>
    <border>
      <start/>
      <end/>
      <top style="thin">
        <color theme="4" tint="0.39997558519241921"/>
      </top>
      <bottom style="thin">
        <color theme="4" tint="0.39997558519241921"/>
      </bottom>
      <diagonal/>
    </border>
  </borders>
  <cellStyleXfs count="76">
    <xf numFmtId="0" fontId="0" fillId="0" borderId="0"/>
    <xf numFmtId="164" fontId="1" fillId="0" borderId="0" applyFill="0" applyBorder="0" applyAlignment="0"/>
    <xf numFmtId="0" fontId="1" fillId="0" borderId="0"/>
    <xf numFmtId="0" fontId="1" fillId="0" borderId="0"/>
    <xf numFmtId="165" fontId="1" fillId="0" borderId="0" applyFill="0" applyBorder="0" applyAlignment="0" applyProtection="0"/>
    <xf numFmtId="0" fontId="2" fillId="0" borderId="0" applyNumberFormat="0" applyFill="0" applyBorder="0" applyAlignment="0" applyProtection="0"/>
    <xf numFmtId="164" fontId="2" fillId="0" borderId="0" applyFill="0" applyBorder="0" applyAlignment="0" applyProtection="0"/>
    <xf numFmtId="164" fontId="3" fillId="0" borderId="0" applyFill="0" applyBorder="0" applyAlignment="0" applyProtection="0"/>
    <xf numFmtId="165" fontId="1" fillId="0" borderId="0" applyFill="0" applyBorder="0" applyAlignment="0" applyProtection="0"/>
    <xf numFmtId="165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3" fillId="0" borderId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0" fontId="3" fillId="0" borderId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0" fontId="1" fillId="0" borderId="0"/>
    <xf numFmtId="0" fontId="3" fillId="0" borderId="0"/>
    <xf numFmtId="0" fontId="3" fillId="0" borderId="0" applyFill="0" applyProtection="0"/>
    <xf numFmtId="0" fontId="3" fillId="0" borderId="0" applyFill="0" applyProtection="0"/>
    <xf numFmtId="0" fontId="3" fillId="0" borderId="0" applyFill="0" applyProtection="0"/>
    <xf numFmtId="0" fontId="3" fillId="0" borderId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164" fontId="1" fillId="0" borderId="0"/>
    <xf numFmtId="164" fontId="1" fillId="0" borderId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0" fontId="1" fillId="0" borderId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1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0" fontId="3" fillId="0" borderId="0"/>
    <xf numFmtId="0" fontId="3" fillId="0" borderId="0"/>
    <xf numFmtId="164" fontId="3" fillId="0" borderId="0" applyFill="0" applyBorder="0" applyAlignment="0" applyProtection="0"/>
    <xf numFmtId="0" fontId="1" fillId="0" borderId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0" fontId="1" fillId="0" borderId="0"/>
    <xf numFmtId="167" fontId="1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0" fontId="1" fillId="0" borderId="0"/>
    <xf numFmtId="164" fontId="3" fillId="0" borderId="0" applyFill="0" applyBorder="0" applyAlignment="0" applyProtection="0"/>
    <xf numFmtId="0" fontId="1" fillId="0" borderId="0"/>
    <xf numFmtId="0" fontId="3" fillId="0" borderId="0"/>
    <xf numFmtId="0" fontId="1" fillId="0" borderId="0"/>
    <xf numFmtId="0" fontId="3" fillId="2" borderId="1" applyNumberFormat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</cellStyleXfs>
  <cellXfs count="41">
    <xf numFmtId="0" fontId="0" fillId="0" borderId="0" xfId="0"/>
    <xf numFmtId="0" fontId="0" fillId="4" borderId="2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1" fontId="0" fillId="4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4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3" fontId="0" fillId="4" borderId="2" xfId="0" applyNumberForma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8" fontId="0" fillId="4" borderId="2" xfId="0" applyNumberFormat="1" applyFill="1" applyBorder="1" applyAlignment="1">
      <alignment horizontal="center" vertical="center"/>
    </xf>
    <xf numFmtId="3" fontId="0" fillId="4" borderId="2" xfId="0" applyNumberForma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3" fontId="0" fillId="0" borderId="2" xfId="0" applyNumberFormat="1" applyBorder="1" applyAlignment="1">
      <alignment vertical="center"/>
    </xf>
    <xf numFmtId="168" fontId="0" fillId="0" borderId="2" xfId="0" applyNumberForma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3" fontId="0" fillId="8" borderId="2" xfId="0" applyNumberFormat="1" applyFill="1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1" fontId="0" fillId="8" borderId="2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5" xfId="0" applyFont="1" applyBorder="1" applyAlignment="1">
      <alignment horizontal="center"/>
    </xf>
  </cellXfs>
  <cellStyles count="76">
    <cellStyle name="1" xfId="1" xr:uid="{BA77FE1A-2F1B-493D-847E-899DCCFA4FEE}"/>
    <cellStyle name="Diseño" xfId="2" xr:uid="{06975218-A96B-4F9C-8E46-91567F132C7F}"/>
    <cellStyle name="Diseño 2" xfId="3" xr:uid="{C87AA8F1-1680-48EC-8F49-4372959B8A53}"/>
    <cellStyle name="Estilo 1 2" xfId="4" xr:uid="{8A3915A5-95D9-47E1-A1CD-15D2D4A45091}"/>
    <cellStyle name="Hipervínculo 2" xfId="5" xr:uid="{8841432E-D094-482F-8ECA-5B74FFC7C12B}"/>
    <cellStyle name="Hipervínculo 2 2" xfId="6" xr:uid="{BB9AC0FE-0FB4-4058-B799-463B4FE2D5B1}"/>
    <cellStyle name="Millares 2" xfId="7" xr:uid="{300BD1A0-57E4-482A-9AAC-0F8CE3B7D306}"/>
    <cellStyle name="Millares 2 2" xfId="8" xr:uid="{47A4D5B3-500A-4B6E-B265-33C762EF087A}"/>
    <cellStyle name="Millares 2 3" xfId="9" xr:uid="{A995B91D-8AFB-4C05-9D1E-92906E7BB389}"/>
    <cellStyle name="Millares 2 4" xfId="10" xr:uid="{AE14AC09-DDA8-4CE0-A993-E657B49E675F}"/>
    <cellStyle name="Millares 2 5" xfId="11" xr:uid="{3D3343BF-6CF2-4A55-A285-B143C954CB3F}"/>
    <cellStyle name="Millares 2 6" xfId="12" xr:uid="{B176CEBF-6625-4184-98A1-B70A461B57A5}"/>
    <cellStyle name="Normal" xfId="0" builtinId="0"/>
    <cellStyle name="Normal 10" xfId="13" xr:uid="{F58FAA04-C783-4E2A-B260-BF7679AA75E9}"/>
    <cellStyle name="Normal 10 2" xfId="14" xr:uid="{A5039BBD-B7E3-46BC-A2C9-F2F66781768D}"/>
    <cellStyle name="Normal 11" xfId="15" xr:uid="{8A51B1AC-A879-4882-A570-5D562C12CACE}"/>
    <cellStyle name="Normal 12" xfId="16" xr:uid="{DA8EA6D5-E7B8-4BD6-8C08-2D453FAE41C6}"/>
    <cellStyle name="Normal 13" xfId="17" xr:uid="{8928EBBC-EE44-4877-88D7-58154567C398}"/>
    <cellStyle name="Normal 14" xfId="18" xr:uid="{9D2C5D80-A3A5-4227-903B-51DFBB7B8C3A}"/>
    <cellStyle name="Normal 2" xfId="19" xr:uid="{27F21BAC-932C-4CDA-B059-40FFE6ABCD28}"/>
    <cellStyle name="Normal 2 13" xfId="20" xr:uid="{B144A2B6-9475-4F31-AD09-0AD4967AC67A}"/>
    <cellStyle name="Normal 2 13 2" xfId="21" xr:uid="{BFFFFC71-30CC-4514-B6AD-0F763A0A47B8}"/>
    <cellStyle name="Normal 2 2" xfId="22" xr:uid="{0AD1353D-BA57-44AC-A8D3-53C700F70E67}"/>
    <cellStyle name="Normal 2 2 2" xfId="23" xr:uid="{7E7C5696-27DC-4822-ADBA-8CBB14075112}"/>
    <cellStyle name="Normal 2 2 3" xfId="24" xr:uid="{A74B330B-E95A-4390-A0D1-FBE70E07CD8A}"/>
    <cellStyle name="Normal 2 20" xfId="25" xr:uid="{8C773C41-A45C-4477-A7A7-12385D2ECE6A}"/>
    <cellStyle name="Normal 2 21 2 3" xfId="26" xr:uid="{031DEEBE-7AFE-412E-AA53-8CB1093CFE7D}"/>
    <cellStyle name="Normal 2 21 2 3 2" xfId="27" xr:uid="{1EC67573-22C6-45AD-9E4E-6A35242A7B6B}"/>
    <cellStyle name="Normal 2 21 2 3 2 2" xfId="28" xr:uid="{B5CB04F7-37D8-4792-8341-83F98EF65E23}"/>
    <cellStyle name="Normal 2 3" xfId="29" xr:uid="{66E42BCF-1C8C-44D1-B065-08E89ABDAD72}"/>
    <cellStyle name="Normal 2 3 2" xfId="30" xr:uid="{91EA1100-0E52-43F0-BF4C-B99A268BFF4C}"/>
    <cellStyle name="Normal 2 4" xfId="31" xr:uid="{F51C5192-8C03-4C68-85E2-C48A638241C1}"/>
    <cellStyle name="Normal 2 4 2" xfId="32" xr:uid="{94975E30-04DD-472C-88E5-56E67BC966AE}"/>
    <cellStyle name="Normal 2 5" xfId="33" xr:uid="{5503F593-293A-4AF5-B51F-B1DC5C5C757E}"/>
    <cellStyle name="Normal 2 5 2" xfId="34" xr:uid="{0DBAEE7D-D155-4266-8965-7EB0332B2C0A}"/>
    <cellStyle name="Normal 2 6" xfId="35" xr:uid="{17EB687E-CE43-4480-AAC6-FAE0CB1A1F15}"/>
    <cellStyle name="Normal 2 6 2" xfId="36" xr:uid="{D5556BDF-0F79-41F1-8E68-A1535154991F}"/>
    <cellStyle name="Normal 2 7" xfId="37" xr:uid="{603CFE56-6005-4A9D-9273-5564BD506029}"/>
    <cellStyle name="Normal 2 8" xfId="38" xr:uid="{583BA913-DEA3-4B65-A3B2-0DDFEC08C71F}"/>
    <cellStyle name="Normal 2 9" xfId="39" xr:uid="{4DEB978D-4E92-4F5A-A9CA-B6C15A41D1CD}"/>
    <cellStyle name="Normal 24" xfId="40" xr:uid="{EE6248BB-FE9A-4621-BFF0-D27E8DE116BC}"/>
    <cellStyle name="Normal 24 2" xfId="41" xr:uid="{D4E58966-98A4-4756-A8B8-29DE58BBD5AA}"/>
    <cellStyle name="Normal 3" xfId="42" xr:uid="{B87F09D2-2FDF-4B2E-955F-A5B99F7F92EF}"/>
    <cellStyle name="Normal 3 2" xfId="43" xr:uid="{617B07EB-BC85-4399-9F0F-8C2AB5C700CD}"/>
    <cellStyle name="Normal 3 2 2" xfId="44" xr:uid="{12DE787A-7D5A-4557-BB9C-F73C51AFFC03}"/>
    <cellStyle name="Normal 3 2 3" xfId="45" xr:uid="{FF1E5BE4-3613-4DAB-A1CF-DDF2130515D2}"/>
    <cellStyle name="Normal 3 3" xfId="46" xr:uid="{32DB5401-B43E-4F5E-8E22-D76747BB5D2E}"/>
    <cellStyle name="Normal 3 3 2" xfId="47" xr:uid="{ADD572F8-6224-456B-A085-859E214D6BAB}"/>
    <cellStyle name="Normal 3 4" xfId="48" xr:uid="{9CFEE5C6-BF1A-4168-9C85-7A4B3B14C40A}"/>
    <cellStyle name="Normal 3 4 2" xfId="49" xr:uid="{7698D62B-423D-4C09-92BE-C42875A03B7D}"/>
    <cellStyle name="Normal 3 5" xfId="50" xr:uid="{F2F876DA-EDBE-41A4-B520-D7230FEC5F3C}"/>
    <cellStyle name="Normal 3 5 2" xfId="51" xr:uid="{5FC8C409-F9C2-48FE-BED4-5F64CA8C3755}"/>
    <cellStyle name="Normal 3 6" xfId="52" xr:uid="{1018134C-1892-4949-816A-CCB80D8A1978}"/>
    <cellStyle name="Normal 30" xfId="53" xr:uid="{1CA0F39D-79A9-4DB3-A268-C32D9C7A3AA4}"/>
    <cellStyle name="Normal 30 2" xfId="54" xr:uid="{9D50E54B-1028-4BE0-956D-7A896A2286A7}"/>
    <cellStyle name="Normal 33" xfId="55" xr:uid="{DEA6F28D-6620-45E0-AF9E-EFBBF6A77862}"/>
    <cellStyle name="Normal 4" xfId="56" xr:uid="{5ED8CAFD-441D-4059-97FB-8EF839F37C22}"/>
    <cellStyle name="Normal 4 2" xfId="57" xr:uid="{BF81777A-C4BB-4678-9FCF-ED3612046930}"/>
    <cellStyle name="Normal 4 2 2" xfId="58" xr:uid="{C45497FD-4E7F-4343-A59D-884D6FE7B699}"/>
    <cellStyle name="Normal 4 3" xfId="59" xr:uid="{451A5394-CB36-4C0C-93C2-ACC0C56E8ED1}"/>
    <cellStyle name="Normal 5" xfId="60" xr:uid="{3567183E-3ED8-4DE7-BED0-11D455E05039}"/>
    <cellStyle name="Normal 5 2" xfId="61" xr:uid="{AF882E56-20E1-417A-896A-E7D4138575F3}"/>
    <cellStyle name="Normal 6" xfId="62" xr:uid="{D207C9F8-C381-4016-A5C1-B18BE2FDA73A}"/>
    <cellStyle name="Normal 6 2" xfId="63" xr:uid="{6F7C8B4D-73BD-4808-8825-E81049D90FDE}"/>
    <cellStyle name="Normal 6 3" xfId="64" xr:uid="{1BB3FDBE-652F-4C28-A9B5-32C466E5C4F1}"/>
    <cellStyle name="Normal 66" xfId="65" xr:uid="{BFDC6B60-56E7-4346-A523-92C5B997670B}"/>
    <cellStyle name="Normal 7" xfId="66" xr:uid="{4C1114A1-5F36-4455-A538-9A176A415CE5}"/>
    <cellStyle name="Normal 7 2" xfId="67" xr:uid="{D5BA06C0-1C24-4210-B3FB-D2BC5D3139B5}"/>
    <cellStyle name="Normal 7 3" xfId="68" xr:uid="{E025861A-D50C-4D62-8BB7-ACC59D57737B}"/>
    <cellStyle name="Normal 8" xfId="69" xr:uid="{0A01BAD3-5D29-414D-8C83-DCC496329FBD}"/>
    <cellStyle name="Normal 8 2" xfId="70" xr:uid="{0DCD0101-9DD7-4C79-AA95-10AB8E870228}"/>
    <cellStyle name="Normal 8 7" xfId="71" xr:uid="{96D95EDD-487D-4C03-A61A-34BB82663932}"/>
    <cellStyle name="Normal 9" xfId="72" xr:uid="{D41F3172-9A53-47C7-88F4-8B1ACDB253CF}"/>
    <cellStyle name="Notas 2" xfId="73" xr:uid="{7B392CA1-8BD6-49F9-BEBC-CD6AA4A0D0DA}"/>
    <cellStyle name="Porcentual 3" xfId="74" xr:uid="{C19A1B22-1305-4D13-B3C9-2DAD91802BAD}"/>
    <cellStyle name="Porcentual 3 2" xfId="75" xr:uid="{9E6F5A1A-BB28-47AC-8A2B-111AB90C2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AEAA-FC51-431B-8811-2A0A56ABDC8A}">
  <dimension ref="A1:M449"/>
  <sheetViews>
    <sheetView tabSelected="1" workbookViewId="0">
      <selection activeCell="F446" sqref="F446"/>
    </sheetView>
  </sheetViews>
  <sheetFormatPr baseColWidth="10" defaultRowHeight="15" x14ac:dyDescent="0.25"/>
  <cols>
    <col min="1" max="1" width="25.7109375" style="21" bestFit="1" customWidth="1"/>
    <col min="2" max="2" width="24.140625" style="21" bestFit="1" customWidth="1"/>
    <col min="3" max="3" width="13.5703125" style="21" bestFit="1" customWidth="1"/>
    <col min="4" max="4" width="10.7109375" style="21" bestFit="1" customWidth="1"/>
    <col min="5" max="5" width="10.85546875" style="21" bestFit="1" customWidth="1"/>
    <col min="6" max="6" width="13.140625" style="21" bestFit="1" customWidth="1"/>
    <col min="7" max="7" width="16.7109375" style="21" bestFit="1" customWidth="1"/>
    <col min="8" max="8" width="37.42578125" style="21" bestFit="1" customWidth="1"/>
    <col min="9" max="9" width="12.7109375" style="21" bestFit="1" customWidth="1"/>
    <col min="10" max="10" width="13.85546875" style="21" bestFit="1" customWidth="1"/>
    <col min="11" max="11" width="12.5703125" style="21" bestFit="1" customWidth="1"/>
    <col min="12" max="12" width="10" style="21" bestFit="1" customWidth="1"/>
    <col min="13" max="13" width="14.7109375" style="21" bestFit="1" customWidth="1"/>
    <col min="14" max="16384" width="11.42578125" style="21"/>
  </cols>
  <sheetData>
    <row r="1" spans="1:13" ht="31.5" x14ac:dyDescent="0.25">
      <c r="A1" s="19" t="s">
        <v>905</v>
      </c>
      <c r="B1" s="19" t="s">
        <v>906</v>
      </c>
      <c r="C1" s="19" t="s">
        <v>947</v>
      </c>
      <c r="D1" s="19" t="s">
        <v>907</v>
      </c>
      <c r="E1" s="19" t="s">
        <v>0</v>
      </c>
      <c r="F1" s="19" t="s">
        <v>908</v>
      </c>
      <c r="G1" s="18" t="s">
        <v>1</v>
      </c>
      <c r="H1" s="20" t="s">
        <v>910</v>
      </c>
      <c r="I1" s="20" t="s">
        <v>909</v>
      </c>
      <c r="J1" s="20" t="s">
        <v>948</v>
      </c>
      <c r="K1" s="33" t="s">
        <v>949</v>
      </c>
      <c r="L1" s="34" t="s">
        <v>950</v>
      </c>
      <c r="M1" s="35" t="s">
        <v>951</v>
      </c>
    </row>
    <row r="2" spans="1:13" x14ac:dyDescent="0.25">
      <c r="A2" s="1" t="s">
        <v>542</v>
      </c>
      <c r="B2" s="22" t="s">
        <v>543</v>
      </c>
      <c r="C2" s="22" t="s">
        <v>7</v>
      </c>
      <c r="D2" s="2" t="d">
        <v>1964-03-24</v>
      </c>
      <c r="E2" s="1">
        <f>2024-1964</f>
        <v>60</v>
      </c>
      <c r="F2" s="3">
        <v>8038665</v>
      </c>
      <c r="G2" s="23" t="s">
        <v>3</v>
      </c>
      <c r="H2" s="23" t="s">
        <v>3</v>
      </c>
      <c r="I2" s="22" t="s">
        <v>4</v>
      </c>
      <c r="J2" s="23" t="s">
        <v>5</v>
      </c>
      <c r="K2" s="27"/>
      <c r="L2" s="27"/>
      <c r="M2" s="27"/>
    </row>
    <row r="3" spans="1:13" ht="21" customHeight="1" x14ac:dyDescent="0.25">
      <c r="A3" s="1" t="s">
        <v>243</v>
      </c>
      <c r="B3" s="22" t="s">
        <v>244</v>
      </c>
      <c r="C3" s="2" t="s">
        <v>2</v>
      </c>
      <c r="D3" s="2" t="d">
        <v>1963-05-04</v>
      </c>
      <c r="E3" s="1">
        <f>2024-1963</f>
        <v>61</v>
      </c>
      <c r="F3" s="3">
        <v>7647966</v>
      </c>
      <c r="G3" s="23" t="s">
        <v>3</v>
      </c>
      <c r="H3" s="23" t="s">
        <v>3</v>
      </c>
      <c r="I3" s="22" t="s">
        <v>31</v>
      </c>
      <c r="J3" s="23" t="s">
        <v>5</v>
      </c>
      <c r="K3" s="27"/>
      <c r="L3" s="27"/>
      <c r="M3" s="27"/>
    </row>
    <row r="4" spans="1:13" ht="15" customHeight="1" x14ac:dyDescent="0.25">
      <c r="A4" s="4" t="s">
        <v>245</v>
      </c>
      <c r="B4" s="17" t="s">
        <v>246</v>
      </c>
      <c r="C4" s="4" t="s">
        <v>7</v>
      </c>
      <c r="D4" s="5" t="d">
        <v>1962-04-18</v>
      </c>
      <c r="E4" s="17">
        <f>2024-1962</f>
        <v>62</v>
      </c>
      <c r="F4" s="6">
        <v>8013892</v>
      </c>
      <c r="G4" s="40" t="s">
        <v>962</v>
      </c>
      <c r="H4" s="39" t="s">
        <v>960</v>
      </c>
      <c r="I4" s="17" t="s">
        <v>31</v>
      </c>
      <c r="J4" s="17" t="s">
        <v>5</v>
      </c>
      <c r="K4" s="27"/>
      <c r="L4" s="27"/>
      <c r="M4" s="27"/>
    </row>
    <row r="5" spans="1:13" ht="18.75" customHeight="1" x14ac:dyDescent="0.25">
      <c r="A5" s="4" t="s">
        <v>247</v>
      </c>
      <c r="B5" s="17" t="s">
        <v>248</v>
      </c>
      <c r="C5" s="4" t="s">
        <v>7</v>
      </c>
      <c r="D5" s="5" t="d">
        <v>2012-12-06</v>
      </c>
      <c r="E5" s="17">
        <f>2024-2012</f>
        <v>12</v>
      </c>
      <c r="F5" s="6">
        <v>34534369</v>
      </c>
      <c r="G5" s="40" t="s">
        <v>962</v>
      </c>
      <c r="H5" s="4" t="s">
        <v>15</v>
      </c>
      <c r="I5" s="17" t="s">
        <v>4</v>
      </c>
      <c r="J5" s="17" t="s">
        <v>5</v>
      </c>
      <c r="K5" s="27"/>
      <c r="L5" s="27"/>
      <c r="M5" s="27"/>
    </row>
    <row r="6" spans="1:13" x14ac:dyDescent="0.25">
      <c r="A6" s="4" t="s">
        <v>249</v>
      </c>
      <c r="B6" s="17" t="s">
        <v>250</v>
      </c>
      <c r="C6" s="4" t="s">
        <v>7</v>
      </c>
      <c r="D6" s="5" t="d">
        <v>2023-10-05</v>
      </c>
      <c r="E6" s="17">
        <f>2024-2023</f>
        <v>1</v>
      </c>
      <c r="F6" s="6" t="s">
        <v>797</v>
      </c>
      <c r="G6" s="40" t="s">
        <v>962</v>
      </c>
      <c r="H6" s="4" t="s">
        <v>15</v>
      </c>
      <c r="I6" s="17" t="s">
        <v>4</v>
      </c>
      <c r="J6" s="17" t="s">
        <v>5</v>
      </c>
      <c r="K6" s="27"/>
      <c r="L6" s="27"/>
      <c r="M6" s="27"/>
    </row>
    <row r="7" spans="1:13" x14ac:dyDescent="0.25">
      <c r="A7" s="22" t="s">
        <v>106</v>
      </c>
      <c r="B7" s="22" t="s">
        <v>107</v>
      </c>
      <c r="C7" s="22" t="s">
        <v>2</v>
      </c>
      <c r="D7" s="24" t="d">
        <v>1970-06-18</v>
      </c>
      <c r="E7" s="22">
        <f>2024-1970</f>
        <v>54</v>
      </c>
      <c r="F7" s="7">
        <v>11466856</v>
      </c>
      <c r="G7" s="23" t="s">
        <v>3</v>
      </c>
      <c r="H7" s="23" t="s">
        <v>3</v>
      </c>
      <c r="I7" s="22" t="s">
        <v>31</v>
      </c>
      <c r="J7" s="23" t="s">
        <v>5</v>
      </c>
      <c r="K7" s="27"/>
      <c r="L7" s="27"/>
      <c r="M7" s="27"/>
    </row>
    <row r="8" spans="1:13" x14ac:dyDescent="0.25">
      <c r="A8" s="4" t="s">
        <v>108</v>
      </c>
      <c r="B8" s="17" t="s">
        <v>109</v>
      </c>
      <c r="C8" s="17" t="s">
        <v>7</v>
      </c>
      <c r="D8" s="5" t="d">
        <v>1971-04-05</v>
      </c>
      <c r="E8" s="17">
        <f>2024-1971</f>
        <v>53</v>
      </c>
      <c r="F8" s="8">
        <v>11224320</v>
      </c>
      <c r="G8" s="40" t="s">
        <v>962</v>
      </c>
      <c r="H8" s="39" t="s">
        <v>960</v>
      </c>
      <c r="I8" s="17" t="s">
        <v>31</v>
      </c>
      <c r="J8" s="17" t="s">
        <v>5</v>
      </c>
      <c r="K8" s="27"/>
      <c r="L8" s="27"/>
      <c r="M8" s="27"/>
    </row>
    <row r="9" spans="1:13" ht="14.25" customHeight="1" x14ac:dyDescent="0.25">
      <c r="A9" s="4" t="s">
        <v>110</v>
      </c>
      <c r="B9" s="17" t="s">
        <v>111</v>
      </c>
      <c r="C9" s="17" t="s">
        <v>2</v>
      </c>
      <c r="D9" s="9" t="d">
        <v>2017-07-28</v>
      </c>
      <c r="E9" s="17">
        <f>2024-2017</f>
        <v>7</v>
      </c>
      <c r="F9" s="6" t="s">
        <v>776</v>
      </c>
      <c r="G9" s="40" t="s">
        <v>962</v>
      </c>
      <c r="H9" s="4" t="s">
        <v>17</v>
      </c>
      <c r="I9" s="17" t="s">
        <v>4</v>
      </c>
      <c r="J9" s="17" t="s">
        <v>5</v>
      </c>
      <c r="K9" s="27"/>
      <c r="L9" s="27"/>
      <c r="M9" s="27"/>
    </row>
    <row r="10" spans="1:13" ht="16.5" customHeight="1" x14ac:dyDescent="0.25">
      <c r="A10" s="4" t="s">
        <v>112</v>
      </c>
      <c r="B10" s="17" t="s">
        <v>113</v>
      </c>
      <c r="C10" s="17" t="s">
        <v>2</v>
      </c>
      <c r="D10" s="5" t="d">
        <v>2015-05-19</v>
      </c>
      <c r="E10" s="17">
        <f>2025-2015</f>
        <v>10</v>
      </c>
      <c r="F10" s="6" t="s">
        <v>777</v>
      </c>
      <c r="G10" s="40" t="s">
        <v>962</v>
      </c>
      <c r="H10" s="4" t="s">
        <v>17</v>
      </c>
      <c r="I10" s="17" t="s">
        <v>4</v>
      </c>
      <c r="J10" s="17" t="s">
        <v>5</v>
      </c>
      <c r="K10" s="27"/>
      <c r="L10" s="27"/>
      <c r="M10" s="27"/>
    </row>
    <row r="11" spans="1:13" ht="20.25" customHeight="1" x14ac:dyDescent="0.25">
      <c r="A11" s="1" t="s">
        <v>150</v>
      </c>
      <c r="B11" s="22" t="s">
        <v>151</v>
      </c>
      <c r="C11" s="22" t="s">
        <v>2</v>
      </c>
      <c r="D11" s="2" t="d">
        <v>1984-01-13</v>
      </c>
      <c r="E11" s="1">
        <f>2025-1984</f>
        <v>41</v>
      </c>
      <c r="F11" s="3">
        <v>16443135</v>
      </c>
      <c r="G11" s="23" t="s">
        <v>3</v>
      </c>
      <c r="H11" s="23" t="s">
        <v>3</v>
      </c>
      <c r="I11" s="22" t="s">
        <v>4</v>
      </c>
      <c r="J11" s="23" t="s">
        <v>5</v>
      </c>
      <c r="K11" s="27"/>
      <c r="L11" s="27"/>
      <c r="M11" s="27"/>
    </row>
    <row r="12" spans="1:13" ht="16.5" customHeight="1" x14ac:dyDescent="0.25">
      <c r="A12" s="4" t="s">
        <v>152</v>
      </c>
      <c r="B12" s="17" t="s">
        <v>153</v>
      </c>
      <c r="C12" s="4" t="s">
        <v>2</v>
      </c>
      <c r="D12" s="5" t="d">
        <v>1962-06-22</v>
      </c>
      <c r="E12" s="17">
        <f>2024-1962</f>
        <v>62</v>
      </c>
      <c r="F12" s="6">
        <v>80028045</v>
      </c>
      <c r="G12" s="40" t="s">
        <v>962</v>
      </c>
      <c r="H12" s="4" t="s">
        <v>8</v>
      </c>
      <c r="I12" s="17" t="s">
        <v>4</v>
      </c>
      <c r="J12" s="17" t="s">
        <v>5</v>
      </c>
      <c r="K12" s="27"/>
      <c r="L12" s="27"/>
      <c r="M12" s="27"/>
    </row>
    <row r="13" spans="1:13" ht="18.75" customHeight="1" x14ac:dyDescent="0.25">
      <c r="A13" s="4" t="s">
        <v>154</v>
      </c>
      <c r="B13" s="17" t="s">
        <v>155</v>
      </c>
      <c r="C13" s="4" t="s">
        <v>2</v>
      </c>
      <c r="D13" s="5" t="d">
        <v>2002-06-11</v>
      </c>
      <c r="E13" s="17">
        <f>2024-2002</f>
        <v>22</v>
      </c>
      <c r="F13" s="6">
        <v>28440387</v>
      </c>
      <c r="G13" s="40" t="s">
        <v>962</v>
      </c>
      <c r="H13" s="4" t="s">
        <v>6</v>
      </c>
      <c r="I13" s="17" t="s">
        <v>4</v>
      </c>
      <c r="J13" s="17" t="s">
        <v>5</v>
      </c>
      <c r="K13" s="27"/>
      <c r="L13" s="27"/>
      <c r="M13" s="27"/>
    </row>
    <row r="14" spans="1:13" ht="16.5" customHeight="1" x14ac:dyDescent="0.25">
      <c r="A14" s="4" t="s">
        <v>156</v>
      </c>
      <c r="B14" s="17" t="s">
        <v>157</v>
      </c>
      <c r="C14" s="4" t="s">
        <v>7</v>
      </c>
      <c r="D14" s="5" t="d">
        <v>2016-06-16</v>
      </c>
      <c r="E14" s="17">
        <f>2024-2016</f>
        <v>8</v>
      </c>
      <c r="F14" s="6" t="s">
        <v>781</v>
      </c>
      <c r="G14" s="40" t="s">
        <v>962</v>
      </c>
      <c r="H14" s="4" t="s">
        <v>9</v>
      </c>
      <c r="I14" s="17" t="s">
        <v>4</v>
      </c>
      <c r="J14" s="17" t="s">
        <v>5</v>
      </c>
      <c r="K14" s="27"/>
      <c r="L14" s="27"/>
      <c r="M14" s="27"/>
    </row>
    <row r="15" spans="1:13" ht="16.5" customHeight="1" x14ac:dyDescent="0.25">
      <c r="A15" s="4" t="s">
        <v>164</v>
      </c>
      <c r="B15" s="17" t="s">
        <v>165</v>
      </c>
      <c r="C15" s="4" t="s">
        <v>7</v>
      </c>
      <c r="D15" s="5" t="d">
        <v>2019-04-02</v>
      </c>
      <c r="E15" s="17">
        <f>2024-2019</f>
        <v>5</v>
      </c>
      <c r="F15" s="6" t="s">
        <v>782</v>
      </c>
      <c r="G15" s="40" t="s">
        <v>962</v>
      </c>
      <c r="H15" s="4" t="s">
        <v>15</v>
      </c>
      <c r="I15" s="17" t="s">
        <v>4</v>
      </c>
      <c r="J15" s="17" t="s">
        <v>5</v>
      </c>
      <c r="K15" s="27"/>
      <c r="L15" s="27"/>
      <c r="M15" s="27"/>
    </row>
    <row r="16" spans="1:13" ht="18.75" customHeight="1" x14ac:dyDescent="0.25">
      <c r="A16" s="4" t="s">
        <v>164</v>
      </c>
      <c r="B16" s="17" t="s">
        <v>166</v>
      </c>
      <c r="C16" s="4" t="s">
        <v>7</v>
      </c>
      <c r="D16" s="5" t="d">
        <v>2022-12-18</v>
      </c>
      <c r="E16" s="17">
        <f>2024-2022</f>
        <v>2</v>
      </c>
      <c r="F16" s="6" t="s">
        <v>783</v>
      </c>
      <c r="G16" s="40" t="s">
        <v>962</v>
      </c>
      <c r="H16" s="4" t="s">
        <v>15</v>
      </c>
      <c r="I16" s="17" t="s">
        <v>4</v>
      </c>
      <c r="J16" s="17" t="s">
        <v>5</v>
      </c>
      <c r="K16" s="27"/>
      <c r="L16" s="27"/>
      <c r="M16" s="27"/>
    </row>
    <row r="17" spans="1:13" ht="15.75" customHeight="1" x14ac:dyDescent="0.25">
      <c r="A17" s="1" t="s">
        <v>895</v>
      </c>
      <c r="B17" s="22" t="s">
        <v>896</v>
      </c>
      <c r="C17" s="22" t="s">
        <v>7</v>
      </c>
      <c r="D17" s="2" t="d">
        <v>1989-03-06</v>
      </c>
      <c r="E17" s="1">
        <f>2024-1989</f>
        <v>35</v>
      </c>
      <c r="F17" s="3">
        <v>19146497</v>
      </c>
      <c r="G17" s="23" t="s">
        <v>3</v>
      </c>
      <c r="H17" s="23" t="s">
        <v>3</v>
      </c>
      <c r="I17" s="22" t="s">
        <v>4</v>
      </c>
      <c r="J17" s="22" t="s">
        <v>5</v>
      </c>
      <c r="K17" s="27"/>
      <c r="L17" s="27"/>
      <c r="M17" s="27"/>
    </row>
    <row r="18" spans="1:13" ht="21" customHeight="1" x14ac:dyDescent="0.25">
      <c r="A18" s="4" t="s">
        <v>649</v>
      </c>
      <c r="B18" s="17" t="s">
        <v>650</v>
      </c>
      <c r="C18" s="4" t="s">
        <v>7</v>
      </c>
      <c r="D18" s="5" t="d">
        <v>1961-06-01</v>
      </c>
      <c r="E18" s="17">
        <f>2024-1961</f>
        <v>63</v>
      </c>
      <c r="F18" s="6">
        <v>8015507</v>
      </c>
      <c r="G18" s="40" t="s">
        <v>962</v>
      </c>
      <c r="H18" s="4" t="s">
        <v>10</v>
      </c>
      <c r="I18" s="17" t="s">
        <v>4</v>
      </c>
      <c r="J18" s="17" t="s">
        <v>5</v>
      </c>
      <c r="K18" s="27"/>
      <c r="L18" s="27"/>
      <c r="M18" s="27"/>
    </row>
    <row r="19" spans="1:13" ht="15.75" customHeight="1" x14ac:dyDescent="0.25">
      <c r="A19" s="4" t="s">
        <v>651</v>
      </c>
      <c r="B19" s="17" t="s">
        <v>652</v>
      </c>
      <c r="C19" s="4" t="s">
        <v>2</v>
      </c>
      <c r="D19" s="5" t="d">
        <v>1963-03-07</v>
      </c>
      <c r="E19" s="17">
        <f>2024-1963</f>
        <v>61</v>
      </c>
      <c r="F19" s="6">
        <v>8020892</v>
      </c>
      <c r="G19" s="40" t="s">
        <v>962</v>
      </c>
      <c r="H19" s="4" t="s">
        <v>8</v>
      </c>
      <c r="I19" s="17" t="s">
        <v>4</v>
      </c>
      <c r="J19" s="17" t="s">
        <v>5</v>
      </c>
      <c r="K19" s="27"/>
      <c r="L19" s="27"/>
      <c r="M19" s="27"/>
    </row>
    <row r="20" spans="1:13" ht="18.75" customHeight="1" x14ac:dyDescent="0.25">
      <c r="A20" s="4" t="s">
        <v>653</v>
      </c>
      <c r="B20" s="17" t="s">
        <v>654</v>
      </c>
      <c r="C20" s="4" t="s">
        <v>2</v>
      </c>
      <c r="D20" s="5" t="d">
        <v>1996-10-10</v>
      </c>
      <c r="E20" s="17">
        <f>2024-1996</f>
        <v>28</v>
      </c>
      <c r="F20" s="6">
        <v>23303181</v>
      </c>
      <c r="G20" s="40" t="s">
        <v>962</v>
      </c>
      <c r="H20" s="39" t="s">
        <v>961</v>
      </c>
      <c r="I20" s="17" t="s">
        <v>4</v>
      </c>
      <c r="J20" s="17" t="s">
        <v>5</v>
      </c>
      <c r="K20" s="27"/>
      <c r="L20" s="27"/>
      <c r="M20" s="27"/>
    </row>
    <row r="21" spans="1:13" ht="19.5" customHeight="1" x14ac:dyDescent="0.25">
      <c r="A21" s="4" t="s">
        <v>655</v>
      </c>
      <c r="B21" s="17" t="s">
        <v>656</v>
      </c>
      <c r="C21" s="4" t="s">
        <v>7</v>
      </c>
      <c r="D21" s="5" t="d">
        <v>2022-12-22</v>
      </c>
      <c r="E21" s="17">
        <f>2024-2022</f>
        <v>2</v>
      </c>
      <c r="F21" s="6" t="s">
        <v>843</v>
      </c>
      <c r="G21" s="40" t="s">
        <v>962</v>
      </c>
      <c r="H21" s="4" t="s">
        <v>9</v>
      </c>
      <c r="I21" s="17" t="s">
        <v>4</v>
      </c>
      <c r="J21" s="17" t="s">
        <v>5</v>
      </c>
      <c r="K21" s="27"/>
      <c r="L21" s="27"/>
      <c r="M21" s="27"/>
    </row>
    <row r="22" spans="1:13" ht="14.25" customHeight="1" x14ac:dyDescent="0.25">
      <c r="A22" s="1" t="s">
        <v>706</v>
      </c>
      <c r="B22" s="22" t="s">
        <v>707</v>
      </c>
      <c r="C22" s="1" t="s">
        <v>2</v>
      </c>
      <c r="D22" s="2" t="d">
        <v>1976-12-02</v>
      </c>
      <c r="E22" s="22">
        <f>2024-1976</f>
        <v>48</v>
      </c>
      <c r="F22" s="3">
        <v>12352018</v>
      </c>
      <c r="G22" s="23" t="s">
        <v>3</v>
      </c>
      <c r="H22" s="23" t="s">
        <v>3</v>
      </c>
      <c r="I22" s="22" t="s">
        <v>4</v>
      </c>
      <c r="J22" s="22" t="s">
        <v>5</v>
      </c>
      <c r="K22" s="27"/>
      <c r="L22" s="27"/>
      <c r="M22" s="27"/>
    </row>
    <row r="23" spans="1:13" ht="13.5" customHeight="1" x14ac:dyDescent="0.25">
      <c r="A23" s="4" t="s">
        <v>708</v>
      </c>
      <c r="B23" s="17" t="s">
        <v>709</v>
      </c>
      <c r="C23" s="4" t="s">
        <v>2</v>
      </c>
      <c r="D23" s="5" t="d">
        <v>1956-04-22</v>
      </c>
      <c r="E23" s="17">
        <f>2024-1956</f>
        <v>68</v>
      </c>
      <c r="F23" s="6">
        <v>4491326</v>
      </c>
      <c r="G23" s="40" t="s">
        <v>962</v>
      </c>
      <c r="H23" s="4" t="s">
        <v>8</v>
      </c>
      <c r="I23" s="17" t="s">
        <v>4</v>
      </c>
      <c r="J23" s="17" t="s">
        <v>5</v>
      </c>
      <c r="K23" s="27"/>
      <c r="L23" s="27"/>
      <c r="M23" s="27"/>
    </row>
    <row r="24" spans="1:13" x14ac:dyDescent="0.25">
      <c r="A24" s="4" t="s">
        <v>710</v>
      </c>
      <c r="B24" s="17" t="s">
        <v>711</v>
      </c>
      <c r="C24" s="4" t="s">
        <v>2</v>
      </c>
      <c r="D24" s="5" t="d">
        <v>2004-02-05</v>
      </c>
      <c r="E24" s="17">
        <f>2025-2004</f>
        <v>21</v>
      </c>
      <c r="F24" s="6">
        <v>30269707</v>
      </c>
      <c r="G24" s="40" t="s">
        <v>962</v>
      </c>
      <c r="H24" s="4" t="s">
        <v>6</v>
      </c>
      <c r="I24" s="17" t="s">
        <v>4</v>
      </c>
      <c r="J24" s="17" t="s">
        <v>5</v>
      </c>
      <c r="K24" s="27"/>
      <c r="L24" s="27"/>
      <c r="M24" s="27"/>
    </row>
    <row r="25" spans="1:13" ht="16.5" customHeight="1" x14ac:dyDescent="0.25">
      <c r="A25" s="4" t="s">
        <v>706</v>
      </c>
      <c r="B25" s="17" t="s">
        <v>712</v>
      </c>
      <c r="C25" s="4" t="s">
        <v>2</v>
      </c>
      <c r="D25" s="5" t="d">
        <v>2014-11-13</v>
      </c>
      <c r="E25" s="17">
        <f>2024-2014</f>
        <v>10</v>
      </c>
      <c r="F25" s="6">
        <v>36550177</v>
      </c>
      <c r="G25" s="40" t="s">
        <v>962</v>
      </c>
      <c r="H25" s="4" t="s">
        <v>6</v>
      </c>
      <c r="I25" s="17" t="s">
        <v>4</v>
      </c>
      <c r="J25" s="17" t="s">
        <v>5</v>
      </c>
      <c r="K25" s="27"/>
      <c r="L25" s="27"/>
      <c r="M25" s="27"/>
    </row>
    <row r="26" spans="1:13" x14ac:dyDescent="0.25">
      <c r="A26" s="4" t="s">
        <v>710</v>
      </c>
      <c r="B26" s="17" t="s">
        <v>713</v>
      </c>
      <c r="C26" s="4" t="s">
        <v>7</v>
      </c>
      <c r="D26" s="5" t="d">
        <v>2012-04-20</v>
      </c>
      <c r="E26" s="17">
        <f>2024-2012</f>
        <v>12</v>
      </c>
      <c r="F26" s="6">
        <v>34225612</v>
      </c>
      <c r="G26" s="40" t="s">
        <v>962</v>
      </c>
      <c r="H26" s="4" t="s">
        <v>9</v>
      </c>
      <c r="I26" s="17" t="s">
        <v>4</v>
      </c>
      <c r="J26" s="17" t="s">
        <v>5</v>
      </c>
      <c r="K26" s="27"/>
      <c r="L26" s="27"/>
      <c r="M26" s="27"/>
    </row>
    <row r="27" spans="1:13" ht="15" customHeight="1" x14ac:dyDescent="0.25">
      <c r="A27" s="1" t="s">
        <v>917</v>
      </c>
      <c r="B27" s="22" t="s">
        <v>918</v>
      </c>
      <c r="C27" s="22" t="s">
        <v>2</v>
      </c>
      <c r="D27" s="2" t="d">
        <v>1993-10-13</v>
      </c>
      <c r="E27" s="1">
        <f>2025-1993</f>
        <v>32</v>
      </c>
      <c r="F27" s="3">
        <v>24374081</v>
      </c>
      <c r="G27" s="23" t="s">
        <v>3</v>
      </c>
      <c r="H27" s="23" t="s">
        <v>3</v>
      </c>
      <c r="I27" s="22" t="s">
        <v>4</v>
      </c>
      <c r="J27" s="23" t="s">
        <v>5</v>
      </c>
      <c r="K27" s="27"/>
      <c r="L27" s="27"/>
      <c r="M27" s="27"/>
    </row>
    <row r="28" spans="1:13" ht="15.75" customHeight="1" x14ac:dyDescent="0.25">
      <c r="A28" s="4" t="s">
        <v>919</v>
      </c>
      <c r="B28" s="17" t="s">
        <v>920</v>
      </c>
      <c r="C28" s="4" t="s">
        <v>2</v>
      </c>
      <c r="D28" s="5" t="d">
        <v>2014-04-08</v>
      </c>
      <c r="E28" s="17">
        <f>2024-2014</f>
        <v>10</v>
      </c>
      <c r="F28" s="6">
        <v>36024932</v>
      </c>
      <c r="G28" s="40" t="s">
        <v>962</v>
      </c>
      <c r="H28" s="4" t="s">
        <v>6</v>
      </c>
      <c r="I28" s="17" t="s">
        <v>4</v>
      </c>
      <c r="J28" s="17" t="s">
        <v>5</v>
      </c>
      <c r="K28" s="27"/>
      <c r="L28" s="27"/>
      <c r="M28" s="27"/>
    </row>
    <row r="29" spans="1:13" ht="18.75" customHeight="1" x14ac:dyDescent="0.25">
      <c r="A29" s="4" t="s">
        <v>921</v>
      </c>
      <c r="B29" s="17" t="s">
        <v>922</v>
      </c>
      <c r="C29" s="4" t="s">
        <v>7</v>
      </c>
      <c r="D29" s="5" t="d">
        <v>1973-11-05</v>
      </c>
      <c r="E29" s="17">
        <f>2024-1973</f>
        <v>51</v>
      </c>
      <c r="F29" s="6">
        <v>11952689</v>
      </c>
      <c r="G29" s="40" t="s">
        <v>962</v>
      </c>
      <c r="H29" s="39" t="s">
        <v>960</v>
      </c>
      <c r="I29" s="17" t="s">
        <v>4</v>
      </c>
      <c r="J29" s="17" t="s">
        <v>5</v>
      </c>
      <c r="K29" s="27"/>
      <c r="L29" s="27"/>
      <c r="M29" s="27"/>
    </row>
    <row r="30" spans="1:13" ht="15.75" customHeight="1" x14ac:dyDescent="0.25">
      <c r="A30" s="4" t="s">
        <v>181</v>
      </c>
      <c r="B30" s="17" t="s">
        <v>923</v>
      </c>
      <c r="C30" s="4" t="s">
        <v>7</v>
      </c>
      <c r="D30" s="5" t="d">
        <v>1957-02-10</v>
      </c>
      <c r="E30" s="17">
        <f>2024-1957</f>
        <v>67</v>
      </c>
      <c r="F30" s="6">
        <v>8080966</v>
      </c>
      <c r="G30" s="40" t="s">
        <v>962</v>
      </c>
      <c r="H30" s="4" t="s">
        <v>10</v>
      </c>
      <c r="I30" s="17" t="s">
        <v>31</v>
      </c>
      <c r="J30" s="17" t="s">
        <v>5</v>
      </c>
      <c r="K30" s="27"/>
      <c r="L30" s="27"/>
      <c r="M30" s="27"/>
    </row>
    <row r="31" spans="1:13" ht="17.25" customHeight="1" x14ac:dyDescent="0.25">
      <c r="A31" s="4" t="s">
        <v>925</v>
      </c>
      <c r="B31" s="17" t="s">
        <v>924</v>
      </c>
      <c r="C31" s="4" t="s">
        <v>2</v>
      </c>
      <c r="D31" s="5" t="d">
        <v>1966-03-01</v>
      </c>
      <c r="E31" s="17">
        <f>2025-1966</f>
        <v>59</v>
      </c>
      <c r="F31" s="6">
        <v>9474166</v>
      </c>
      <c r="G31" s="40" t="s">
        <v>962</v>
      </c>
      <c r="H31" s="4" t="s">
        <v>8</v>
      </c>
      <c r="I31" s="17" t="s">
        <v>31</v>
      </c>
      <c r="J31" s="17" t="s">
        <v>5</v>
      </c>
      <c r="K31" s="27"/>
      <c r="L31" s="27"/>
      <c r="M31" s="27"/>
    </row>
    <row r="32" spans="1:13" ht="14.25" customHeight="1" x14ac:dyDescent="0.25">
      <c r="A32" s="1" t="s">
        <v>296</v>
      </c>
      <c r="B32" s="10" t="s">
        <v>297</v>
      </c>
      <c r="C32" s="22" t="s">
        <v>2</v>
      </c>
      <c r="D32" s="2" t="d">
        <v>1961-07-29</v>
      </c>
      <c r="E32" s="1">
        <f>2024-1961</f>
        <v>63</v>
      </c>
      <c r="F32" s="3">
        <v>8025748</v>
      </c>
      <c r="G32" s="23" t="s">
        <v>3</v>
      </c>
      <c r="H32" s="23" t="s">
        <v>3</v>
      </c>
      <c r="I32" s="22" t="s">
        <v>31</v>
      </c>
      <c r="J32" s="23" t="s">
        <v>5</v>
      </c>
      <c r="K32" s="27"/>
      <c r="L32" s="27"/>
      <c r="M32" s="27"/>
    </row>
    <row r="33" spans="1:13" ht="13.5" customHeight="1" x14ac:dyDescent="0.25">
      <c r="A33" s="4" t="s">
        <v>298</v>
      </c>
      <c r="B33" s="11" t="s">
        <v>299</v>
      </c>
      <c r="C33" s="4" t="s">
        <v>7</v>
      </c>
      <c r="D33" s="5" t="d">
        <v>1959-11-21</v>
      </c>
      <c r="E33" s="17">
        <f>2024-1959</f>
        <v>65</v>
      </c>
      <c r="F33" s="6">
        <v>7648326</v>
      </c>
      <c r="G33" s="40" t="s">
        <v>962</v>
      </c>
      <c r="H33" s="39" t="s">
        <v>960</v>
      </c>
      <c r="I33" s="17" t="s">
        <v>31</v>
      </c>
      <c r="J33" s="17" t="s">
        <v>5</v>
      </c>
      <c r="K33" s="27"/>
      <c r="L33" s="27"/>
      <c r="M33" s="27"/>
    </row>
    <row r="34" spans="1:13" ht="17.25" customHeight="1" x14ac:dyDescent="0.25">
      <c r="A34" s="4" t="s">
        <v>300</v>
      </c>
      <c r="B34" s="11" t="s">
        <v>299</v>
      </c>
      <c r="C34" s="4" t="s">
        <v>7</v>
      </c>
      <c r="D34" s="5" t="d">
        <v>2009-01-19</v>
      </c>
      <c r="E34" s="17">
        <f>2025-2009</f>
        <v>16</v>
      </c>
      <c r="F34" s="6">
        <v>33133893</v>
      </c>
      <c r="G34" s="40" t="s">
        <v>962</v>
      </c>
      <c r="H34" s="4" t="s">
        <v>15</v>
      </c>
      <c r="I34" s="17" t="s">
        <v>4</v>
      </c>
      <c r="J34" s="17" t="s">
        <v>5</v>
      </c>
      <c r="K34" s="27"/>
      <c r="L34" s="27"/>
      <c r="M34" s="27"/>
    </row>
    <row r="35" spans="1:13" x14ac:dyDescent="0.25">
      <c r="A35" s="22" t="s">
        <v>131</v>
      </c>
      <c r="B35" s="22" t="s">
        <v>132</v>
      </c>
      <c r="C35" s="22" t="s">
        <v>2</v>
      </c>
      <c r="D35" s="24" t="d">
        <v>1971-05-21</v>
      </c>
      <c r="E35" s="22">
        <f>2024-1971</f>
        <v>53</v>
      </c>
      <c r="F35" s="3">
        <v>8714276</v>
      </c>
      <c r="G35" s="23" t="s">
        <v>3</v>
      </c>
      <c r="H35" s="23" t="s">
        <v>3</v>
      </c>
      <c r="I35" s="22" t="s">
        <v>4</v>
      </c>
      <c r="J35" s="23" t="s">
        <v>5</v>
      </c>
      <c r="K35" s="27"/>
      <c r="L35" s="27"/>
      <c r="M35" s="27"/>
    </row>
    <row r="36" spans="1:13" x14ac:dyDescent="0.25">
      <c r="A36" s="4" t="s">
        <v>133</v>
      </c>
      <c r="B36" s="17" t="s">
        <v>134</v>
      </c>
      <c r="C36" s="4" t="s">
        <v>7</v>
      </c>
      <c r="D36" s="5" t="d">
        <v>1971-05-24</v>
      </c>
      <c r="E36" s="17">
        <f>2024-1971</f>
        <v>53</v>
      </c>
      <c r="F36" s="6">
        <v>10710499</v>
      </c>
      <c r="G36" s="40" t="s">
        <v>962</v>
      </c>
      <c r="H36" s="39" t="s">
        <v>960</v>
      </c>
      <c r="I36" s="17" t="s">
        <v>4</v>
      </c>
      <c r="J36" s="17" t="s">
        <v>5</v>
      </c>
      <c r="K36" s="27"/>
      <c r="L36" s="27"/>
      <c r="M36" s="27"/>
    </row>
    <row r="37" spans="1:13" ht="17.25" customHeight="1" x14ac:dyDescent="0.25">
      <c r="A37" s="4" t="s">
        <v>135</v>
      </c>
      <c r="B37" s="17" t="s">
        <v>136</v>
      </c>
      <c r="C37" s="4" t="s">
        <v>2</v>
      </c>
      <c r="D37" s="5" t="d">
        <v>2006-03-07</v>
      </c>
      <c r="E37" s="17">
        <f>2024-2006</f>
        <v>18</v>
      </c>
      <c r="F37" s="6">
        <v>31436566</v>
      </c>
      <c r="G37" s="40" t="s">
        <v>962</v>
      </c>
      <c r="H37" s="4" t="s">
        <v>6</v>
      </c>
      <c r="I37" s="17" t="s">
        <v>4</v>
      </c>
      <c r="J37" s="17" t="s">
        <v>5</v>
      </c>
      <c r="K37" s="27"/>
      <c r="L37" s="27"/>
      <c r="M37" s="27"/>
    </row>
    <row r="38" spans="1:13" ht="17.25" customHeight="1" x14ac:dyDescent="0.25">
      <c r="A38" s="4" t="s">
        <v>137</v>
      </c>
      <c r="B38" s="17" t="s">
        <v>138</v>
      </c>
      <c r="C38" s="4" t="s">
        <v>2</v>
      </c>
      <c r="D38" s="5" t="d">
        <v>2014-09-25</v>
      </c>
      <c r="E38" s="17">
        <f>2024-2014</f>
        <v>10</v>
      </c>
      <c r="F38" s="6">
        <v>36287842</v>
      </c>
      <c r="G38" s="40" t="s">
        <v>962</v>
      </c>
      <c r="H38" s="4" t="s">
        <v>17</v>
      </c>
      <c r="I38" s="17" t="s">
        <v>4</v>
      </c>
      <c r="J38" s="17" t="s">
        <v>5</v>
      </c>
      <c r="K38" s="27"/>
      <c r="L38" s="27"/>
      <c r="M38" s="27"/>
    </row>
    <row r="39" spans="1:13" ht="15" customHeight="1" x14ac:dyDescent="0.25">
      <c r="A39" s="1" t="s">
        <v>41</v>
      </c>
      <c r="B39" s="22" t="s">
        <v>456</v>
      </c>
      <c r="C39" s="1" t="s">
        <v>7</v>
      </c>
      <c r="D39" s="2" t="d">
        <v>1975-02-12</v>
      </c>
      <c r="E39" s="22">
        <f>2025-1975</f>
        <v>50</v>
      </c>
      <c r="F39" s="3">
        <v>11952703</v>
      </c>
      <c r="G39" s="23" t="s">
        <v>3</v>
      </c>
      <c r="H39" s="23" t="s">
        <v>3</v>
      </c>
      <c r="I39" s="22" t="s">
        <v>4</v>
      </c>
      <c r="J39" s="23" t="s">
        <v>5</v>
      </c>
      <c r="K39" s="27"/>
      <c r="L39" s="27"/>
      <c r="M39" s="27"/>
    </row>
    <row r="40" spans="1:13" ht="14.25" customHeight="1" x14ac:dyDescent="0.25">
      <c r="A40" s="4" t="s">
        <v>457</v>
      </c>
      <c r="B40" s="17" t="s">
        <v>458</v>
      </c>
      <c r="C40" s="4" t="s">
        <v>2</v>
      </c>
      <c r="D40" s="5" t="d">
        <v>1978-12-30</v>
      </c>
      <c r="E40" s="17">
        <f>2024-1978</f>
        <v>46</v>
      </c>
      <c r="F40" s="6">
        <v>14400806</v>
      </c>
      <c r="G40" s="40" t="s">
        <v>962</v>
      </c>
      <c r="H40" s="39" t="s">
        <v>961</v>
      </c>
      <c r="I40" s="17" t="s">
        <v>30</v>
      </c>
      <c r="J40" s="17" t="s">
        <v>5</v>
      </c>
      <c r="K40" s="27"/>
      <c r="L40" s="27"/>
      <c r="M40" s="27"/>
    </row>
    <row r="41" spans="1:13" ht="18.75" customHeight="1" x14ac:dyDescent="0.25">
      <c r="A41" s="4" t="s">
        <v>459</v>
      </c>
      <c r="B41" s="17" t="s">
        <v>460</v>
      </c>
      <c r="C41" s="4" t="s">
        <v>2</v>
      </c>
      <c r="D41" s="5" t="d">
        <v>2004-11-17</v>
      </c>
      <c r="E41" s="17">
        <f>2024-2004</f>
        <v>20</v>
      </c>
      <c r="F41" s="6">
        <v>30680882</v>
      </c>
      <c r="G41" s="40" t="s">
        <v>962</v>
      </c>
      <c r="H41" s="4" t="s">
        <v>6</v>
      </c>
      <c r="I41" s="17" t="s">
        <v>4</v>
      </c>
      <c r="J41" s="17" t="s">
        <v>5</v>
      </c>
      <c r="K41" s="27"/>
      <c r="L41" s="27"/>
      <c r="M41" s="27"/>
    </row>
    <row r="42" spans="1:13" ht="15" customHeight="1" x14ac:dyDescent="0.25">
      <c r="A42" s="4" t="s">
        <v>461</v>
      </c>
      <c r="B42" s="17" t="s">
        <v>819</v>
      </c>
      <c r="C42" s="4" t="s">
        <v>2</v>
      </c>
      <c r="D42" s="5" t="d">
        <v>2019-02-10</v>
      </c>
      <c r="E42" s="17">
        <f>2025-2019</f>
        <v>6</v>
      </c>
      <c r="F42" s="6" t="s">
        <v>818</v>
      </c>
      <c r="G42" s="40" t="s">
        <v>962</v>
      </c>
      <c r="H42" s="4" t="s">
        <v>6</v>
      </c>
      <c r="I42" s="17" t="s">
        <v>4</v>
      </c>
      <c r="J42" s="17" t="s">
        <v>5</v>
      </c>
      <c r="K42" s="27"/>
      <c r="L42" s="27"/>
      <c r="M42" s="27"/>
    </row>
    <row r="43" spans="1:13" ht="14.25" customHeight="1" x14ac:dyDescent="0.25">
      <c r="A43" s="1" t="s">
        <v>417</v>
      </c>
      <c r="B43" s="22" t="s">
        <v>418</v>
      </c>
      <c r="C43" s="22" t="s">
        <v>7</v>
      </c>
      <c r="D43" s="2" t="d">
        <v>1948-10-01</v>
      </c>
      <c r="E43" s="1">
        <f>2024-1948</f>
        <v>76</v>
      </c>
      <c r="F43" s="3">
        <v>3297437</v>
      </c>
      <c r="G43" s="23" t="s">
        <v>3</v>
      </c>
      <c r="H43" s="23" t="s">
        <v>3</v>
      </c>
      <c r="I43" s="22" t="s">
        <v>31</v>
      </c>
      <c r="J43" s="23" t="s">
        <v>5</v>
      </c>
      <c r="K43" s="27"/>
      <c r="L43" s="27"/>
      <c r="M43" s="27"/>
    </row>
    <row r="44" spans="1:13" ht="15" customHeight="1" x14ac:dyDescent="0.25">
      <c r="A44" s="4" t="s">
        <v>419</v>
      </c>
      <c r="B44" s="17" t="s">
        <v>420</v>
      </c>
      <c r="C44" s="17" t="s">
        <v>2</v>
      </c>
      <c r="D44" s="5" t="d">
        <v>1949-10-27</v>
      </c>
      <c r="E44" s="17">
        <f>2024-1949</f>
        <v>75</v>
      </c>
      <c r="F44" s="6">
        <v>3197302</v>
      </c>
      <c r="G44" s="40" t="s">
        <v>962</v>
      </c>
      <c r="H44" s="39" t="s">
        <v>961</v>
      </c>
      <c r="I44" s="17" t="s">
        <v>31</v>
      </c>
      <c r="J44" s="17" t="s">
        <v>5</v>
      </c>
      <c r="K44" s="27"/>
      <c r="L44" s="27"/>
      <c r="M44" s="27"/>
    </row>
    <row r="45" spans="1:13" ht="18.75" customHeight="1" x14ac:dyDescent="0.25">
      <c r="A45" s="1" t="s">
        <v>926</v>
      </c>
      <c r="B45" s="10" t="s">
        <v>487</v>
      </c>
      <c r="C45" s="2" t="s">
        <v>2</v>
      </c>
      <c r="D45" s="2" t="d">
        <v>1960-08-17</v>
      </c>
      <c r="E45" s="1">
        <f>2024-1960</f>
        <v>64</v>
      </c>
      <c r="F45" s="3">
        <v>5512667</v>
      </c>
      <c r="G45" s="23" t="s">
        <v>3</v>
      </c>
      <c r="H45" s="23" t="s">
        <v>3</v>
      </c>
      <c r="I45" s="22" t="s">
        <v>31</v>
      </c>
      <c r="J45" s="23" t="s">
        <v>5</v>
      </c>
      <c r="K45" s="27"/>
      <c r="L45" s="27"/>
      <c r="M45" s="27"/>
    </row>
    <row r="46" spans="1:13" ht="15.75" customHeight="1" x14ac:dyDescent="0.25">
      <c r="A46" s="4" t="s">
        <v>927</v>
      </c>
      <c r="B46" s="11" t="s">
        <v>928</v>
      </c>
      <c r="C46" s="5" t="s">
        <v>7</v>
      </c>
      <c r="D46" s="5" t="d">
        <v>1995-06-25</v>
      </c>
      <c r="E46" s="4">
        <f>2025-1955</f>
        <v>70</v>
      </c>
      <c r="F46" s="6">
        <v>31708785</v>
      </c>
      <c r="G46" s="40" t="s">
        <v>962</v>
      </c>
      <c r="H46" s="39" t="s">
        <v>960</v>
      </c>
      <c r="I46" s="17" t="s">
        <v>31</v>
      </c>
      <c r="J46" s="17" t="s">
        <v>5</v>
      </c>
      <c r="K46" s="27"/>
      <c r="L46" s="27"/>
      <c r="M46" s="27"/>
    </row>
    <row r="47" spans="1:13" ht="15.75" customHeight="1" x14ac:dyDescent="0.25">
      <c r="A47" s="4" t="s">
        <v>929</v>
      </c>
      <c r="B47" s="11" t="s">
        <v>930</v>
      </c>
      <c r="C47" s="5" t="s">
        <v>7</v>
      </c>
      <c r="D47" s="5" t="d">
        <v>2007-11-05</v>
      </c>
      <c r="E47" s="4">
        <f>2025-2007</f>
        <v>18</v>
      </c>
      <c r="F47" s="6">
        <v>32702006</v>
      </c>
      <c r="G47" s="40" t="s">
        <v>962</v>
      </c>
      <c r="H47" s="4" t="s">
        <v>15</v>
      </c>
      <c r="I47" s="17" t="s">
        <v>4</v>
      </c>
      <c r="J47" s="17" t="s">
        <v>5</v>
      </c>
      <c r="K47" s="27"/>
      <c r="L47" s="27"/>
      <c r="M47" s="27"/>
    </row>
    <row r="48" spans="1:13" x14ac:dyDescent="0.25">
      <c r="A48" s="1" t="s">
        <v>47</v>
      </c>
      <c r="B48" s="12" t="s">
        <v>46</v>
      </c>
      <c r="C48" s="22" t="s">
        <v>2</v>
      </c>
      <c r="D48" s="2" t="d">
        <v>1980-08-10</v>
      </c>
      <c r="E48" s="22">
        <f>2024-1980</f>
        <v>44</v>
      </c>
      <c r="F48" s="7">
        <v>15032415</v>
      </c>
      <c r="G48" s="23" t="s">
        <v>3</v>
      </c>
      <c r="H48" s="23" t="s">
        <v>3</v>
      </c>
      <c r="I48" s="23" t="s">
        <v>4</v>
      </c>
      <c r="J48" s="23" t="s">
        <v>5</v>
      </c>
      <c r="K48" s="27"/>
      <c r="L48" s="27"/>
      <c r="M48" s="27"/>
    </row>
    <row r="49" spans="1:13" ht="15.75" customHeight="1" x14ac:dyDescent="0.25">
      <c r="A49" s="4" t="s">
        <v>48</v>
      </c>
      <c r="B49" s="13" t="s">
        <v>49</v>
      </c>
      <c r="C49" s="4" t="s">
        <v>2</v>
      </c>
      <c r="D49" s="5" t="d">
        <v>1963-01-22</v>
      </c>
      <c r="E49" s="17">
        <f>2025-1963</f>
        <v>62</v>
      </c>
      <c r="F49" s="6">
        <v>8034251</v>
      </c>
      <c r="G49" s="40" t="s">
        <v>962</v>
      </c>
      <c r="H49" s="4" t="s">
        <v>8</v>
      </c>
      <c r="I49" s="17" t="s">
        <v>4</v>
      </c>
      <c r="J49" s="17" t="s">
        <v>5</v>
      </c>
      <c r="K49" s="27"/>
      <c r="L49" s="27"/>
      <c r="M49" s="27"/>
    </row>
    <row r="50" spans="1:13" ht="17.25" customHeight="1" x14ac:dyDescent="0.25">
      <c r="A50" s="4" t="s">
        <v>50</v>
      </c>
      <c r="B50" s="13" t="s">
        <v>56</v>
      </c>
      <c r="C50" s="4" t="s">
        <v>7</v>
      </c>
      <c r="D50" s="5" t="d">
        <v>2010-09-16</v>
      </c>
      <c r="E50" s="17">
        <f>2024-2010</f>
        <v>14</v>
      </c>
      <c r="F50" s="6">
        <v>33804040</v>
      </c>
      <c r="G50" s="40" t="s">
        <v>962</v>
      </c>
      <c r="H50" s="4" t="s">
        <v>9</v>
      </c>
      <c r="I50" s="17" t="s">
        <v>4</v>
      </c>
      <c r="J50" s="17" t="s">
        <v>5</v>
      </c>
      <c r="K50" s="27"/>
      <c r="L50" s="27"/>
      <c r="M50" s="27"/>
    </row>
    <row r="51" spans="1:13" ht="17.25" customHeight="1" x14ac:dyDescent="0.25">
      <c r="A51" s="4" t="s">
        <v>51</v>
      </c>
      <c r="B51" s="13" t="s">
        <v>52</v>
      </c>
      <c r="C51" s="4" t="s">
        <v>7</v>
      </c>
      <c r="D51" s="5" t="d">
        <v>2012-12-19</v>
      </c>
      <c r="E51" s="17">
        <f>2024-2012</f>
        <v>12</v>
      </c>
      <c r="F51" s="6">
        <v>36074748</v>
      </c>
      <c r="G51" s="40" t="s">
        <v>962</v>
      </c>
      <c r="H51" s="4" t="s">
        <v>9</v>
      </c>
      <c r="I51" s="17" t="s">
        <v>4</v>
      </c>
      <c r="J51" s="17" t="s">
        <v>5</v>
      </c>
      <c r="K51" s="27"/>
      <c r="L51" s="27"/>
      <c r="M51" s="27"/>
    </row>
    <row r="52" spans="1:13" ht="16.5" customHeight="1" x14ac:dyDescent="0.25">
      <c r="A52" s="4" t="s">
        <v>53</v>
      </c>
      <c r="B52" s="13" t="s">
        <v>57</v>
      </c>
      <c r="C52" s="4" t="s">
        <v>7</v>
      </c>
      <c r="D52" s="5" t="d">
        <v>1978-05-04</v>
      </c>
      <c r="E52" s="17">
        <f>2024-1978</f>
        <v>46</v>
      </c>
      <c r="F52" s="6">
        <v>13524774</v>
      </c>
      <c r="G52" s="40" t="s">
        <v>962</v>
      </c>
      <c r="H52" s="39" t="s">
        <v>960</v>
      </c>
      <c r="I52" s="17" t="s">
        <v>4</v>
      </c>
      <c r="J52" s="17" t="s">
        <v>5</v>
      </c>
      <c r="K52" s="27"/>
      <c r="L52" s="27"/>
      <c r="M52" s="27"/>
    </row>
    <row r="53" spans="1:13" ht="15.75" customHeight="1" x14ac:dyDescent="0.25">
      <c r="A53" s="1" t="s">
        <v>301</v>
      </c>
      <c r="B53" s="10" t="s">
        <v>302</v>
      </c>
      <c r="C53" s="2" t="s">
        <v>7</v>
      </c>
      <c r="D53" s="2" t="d">
        <v>1963-01-10</v>
      </c>
      <c r="E53" s="1">
        <f>2025-1963</f>
        <v>62</v>
      </c>
      <c r="F53" s="3">
        <v>8088056</v>
      </c>
      <c r="G53" s="23" t="s">
        <v>3</v>
      </c>
      <c r="H53" s="23" t="s">
        <v>3</v>
      </c>
      <c r="I53" s="22" t="s">
        <v>31</v>
      </c>
      <c r="J53" s="23" t="s">
        <v>5</v>
      </c>
      <c r="K53" s="27"/>
      <c r="L53" s="27"/>
      <c r="M53" s="27"/>
    </row>
    <row r="54" spans="1:13" ht="15.75" customHeight="1" x14ac:dyDescent="0.25">
      <c r="A54" s="4" t="s">
        <v>303</v>
      </c>
      <c r="B54" s="17" t="s">
        <v>304</v>
      </c>
      <c r="C54" s="17" t="s">
        <v>2</v>
      </c>
      <c r="D54" s="5" t="d">
        <v>1970-05-10</v>
      </c>
      <c r="E54" s="4">
        <f>2024-1970</f>
        <v>54</v>
      </c>
      <c r="F54" s="6">
        <v>10897178</v>
      </c>
      <c r="G54" s="40" t="s">
        <v>962</v>
      </c>
      <c r="H54" s="39" t="s">
        <v>961</v>
      </c>
      <c r="I54" s="17" t="s">
        <v>31</v>
      </c>
      <c r="J54" s="17" t="s">
        <v>5</v>
      </c>
      <c r="K54" s="27"/>
      <c r="L54" s="27"/>
      <c r="M54" s="27"/>
    </row>
    <row r="55" spans="1:13" ht="16.5" customHeight="1" x14ac:dyDescent="0.25">
      <c r="A55" s="1" t="s">
        <v>177</v>
      </c>
      <c r="B55" s="22" t="s">
        <v>178</v>
      </c>
      <c r="C55" s="22" t="s">
        <v>2</v>
      </c>
      <c r="D55" s="2" t="d">
        <v>1977-07-14</v>
      </c>
      <c r="E55" s="1">
        <f>2024-1977</f>
        <v>47</v>
      </c>
      <c r="F55" s="3">
        <v>14805904</v>
      </c>
      <c r="G55" s="23" t="s">
        <v>3</v>
      </c>
      <c r="H55" s="23" t="s">
        <v>3</v>
      </c>
      <c r="I55" s="22" t="s">
        <v>31</v>
      </c>
      <c r="J55" s="23" t="s">
        <v>5</v>
      </c>
      <c r="K55" s="27"/>
      <c r="L55" s="27"/>
      <c r="M55" s="27"/>
    </row>
    <row r="56" spans="1:13" x14ac:dyDescent="0.25">
      <c r="A56" s="4" t="s">
        <v>179</v>
      </c>
      <c r="B56" s="17" t="s">
        <v>180</v>
      </c>
      <c r="C56" s="4" t="s">
        <v>7</v>
      </c>
      <c r="D56" s="5" t="d">
        <v>1978-02-04</v>
      </c>
      <c r="E56" s="17">
        <f>2025-1978</f>
        <v>47</v>
      </c>
      <c r="F56" s="6">
        <v>14699634</v>
      </c>
      <c r="G56" s="40" t="s">
        <v>962</v>
      </c>
      <c r="H56" s="39" t="s">
        <v>960</v>
      </c>
      <c r="I56" s="17" t="s">
        <v>31</v>
      </c>
      <c r="J56" s="17" t="s">
        <v>5</v>
      </c>
      <c r="K56" s="27"/>
      <c r="L56" s="27"/>
      <c r="M56" s="27"/>
    </row>
    <row r="57" spans="1:13" x14ac:dyDescent="0.25">
      <c r="A57" s="4" t="s">
        <v>181</v>
      </c>
      <c r="B57" s="17" t="s">
        <v>182</v>
      </c>
      <c r="C57" s="4" t="s">
        <v>2</v>
      </c>
      <c r="D57" s="5" t="d">
        <v>1953-05-15</v>
      </c>
      <c r="E57" s="17">
        <f>2024-1953</f>
        <v>71</v>
      </c>
      <c r="F57" s="6">
        <v>7649071</v>
      </c>
      <c r="G57" s="40" t="s">
        <v>962</v>
      </c>
      <c r="H57" s="4" t="s">
        <v>8</v>
      </c>
      <c r="I57" s="17" t="s">
        <v>66</v>
      </c>
      <c r="J57" s="17" t="s">
        <v>5</v>
      </c>
      <c r="K57" s="27"/>
      <c r="L57" s="27"/>
      <c r="M57" s="27"/>
    </row>
    <row r="58" spans="1:13" x14ac:dyDescent="0.25">
      <c r="A58" s="4" t="s">
        <v>179</v>
      </c>
      <c r="B58" s="17" t="s">
        <v>183</v>
      </c>
      <c r="C58" s="4" t="s">
        <v>2</v>
      </c>
      <c r="D58" s="5" t="d">
        <v>2002-08-14</v>
      </c>
      <c r="E58" s="17">
        <f>2024-2002</f>
        <v>22</v>
      </c>
      <c r="F58" s="6">
        <v>29886684</v>
      </c>
      <c r="G58" s="40" t="s">
        <v>962</v>
      </c>
      <c r="H58" s="4" t="s">
        <v>6</v>
      </c>
      <c r="I58" s="17" t="s">
        <v>4</v>
      </c>
      <c r="J58" s="17" t="s">
        <v>5</v>
      </c>
      <c r="K58" s="27"/>
      <c r="L58" s="27"/>
      <c r="M58" s="27"/>
    </row>
    <row r="59" spans="1:13" x14ac:dyDescent="0.25">
      <c r="A59" s="4" t="s">
        <v>179</v>
      </c>
      <c r="B59" s="17" t="s">
        <v>184</v>
      </c>
      <c r="C59" s="4" t="s">
        <v>2</v>
      </c>
      <c r="D59" s="5" t="d">
        <v>2008-01-23</v>
      </c>
      <c r="E59" s="17">
        <f>2024-2008</f>
        <v>16</v>
      </c>
      <c r="F59" s="6">
        <v>32641211</v>
      </c>
      <c r="G59" s="40" t="s">
        <v>962</v>
      </c>
      <c r="H59" s="4" t="s">
        <v>6</v>
      </c>
      <c r="I59" s="17" t="s">
        <v>4</v>
      </c>
      <c r="J59" s="17" t="s">
        <v>5</v>
      </c>
      <c r="K59" s="27"/>
      <c r="L59" s="27"/>
      <c r="M59" s="27"/>
    </row>
    <row r="60" spans="1:13" ht="17.25" customHeight="1" x14ac:dyDescent="0.25">
      <c r="A60" s="1" t="s">
        <v>522</v>
      </c>
      <c r="B60" s="22" t="s">
        <v>523</v>
      </c>
      <c r="C60" s="1" t="s">
        <v>2</v>
      </c>
      <c r="D60" s="2" t="d">
        <v>1990-02-04</v>
      </c>
      <c r="E60" s="22">
        <f>2025-1990</f>
        <v>35</v>
      </c>
      <c r="F60" s="3">
        <v>23442198</v>
      </c>
      <c r="G60" s="23" t="s">
        <v>3</v>
      </c>
      <c r="H60" s="23" t="s">
        <v>3</v>
      </c>
      <c r="I60" s="22" t="s">
        <v>4</v>
      </c>
      <c r="J60" s="23" t="s">
        <v>5</v>
      </c>
      <c r="K60" s="27"/>
      <c r="L60" s="27"/>
      <c r="M60" s="27"/>
    </row>
    <row r="61" spans="1:13" ht="15.75" customHeight="1" x14ac:dyDescent="0.25">
      <c r="A61" s="4" t="s">
        <v>524</v>
      </c>
      <c r="B61" s="17" t="s">
        <v>525</v>
      </c>
      <c r="C61" s="4" t="s">
        <v>7</v>
      </c>
      <c r="D61" s="5" t="d">
        <v>1966-01-22</v>
      </c>
      <c r="E61" s="17">
        <f>2025-1966</f>
        <v>59</v>
      </c>
      <c r="F61" s="6">
        <v>6700646</v>
      </c>
      <c r="G61" s="40" t="s">
        <v>962</v>
      </c>
      <c r="H61" s="4" t="s">
        <v>10</v>
      </c>
      <c r="I61" s="17" t="s">
        <v>4</v>
      </c>
      <c r="J61" s="17" t="s">
        <v>5</v>
      </c>
      <c r="K61" s="27"/>
      <c r="L61" s="27"/>
      <c r="M61" s="27"/>
    </row>
    <row r="62" spans="1:13" ht="15.75" customHeight="1" x14ac:dyDescent="0.25">
      <c r="A62" s="4" t="s">
        <v>526</v>
      </c>
      <c r="B62" s="17" t="s">
        <v>527</v>
      </c>
      <c r="C62" s="4" t="s">
        <v>2</v>
      </c>
      <c r="D62" s="5" t="d">
        <v>1969-12-04</v>
      </c>
      <c r="E62" s="17">
        <f>2024-1969</f>
        <v>55</v>
      </c>
      <c r="F62" s="6">
        <v>10719063</v>
      </c>
      <c r="G62" s="40" t="s">
        <v>962</v>
      </c>
      <c r="H62" s="4" t="s">
        <v>8</v>
      </c>
      <c r="I62" s="17" t="s">
        <v>4</v>
      </c>
      <c r="J62" s="17" t="s">
        <v>5</v>
      </c>
      <c r="K62" s="27"/>
      <c r="L62" s="27"/>
      <c r="M62" s="27"/>
    </row>
    <row r="63" spans="1:13" ht="15" customHeight="1" x14ac:dyDescent="0.25">
      <c r="A63" s="4" t="s">
        <v>528</v>
      </c>
      <c r="B63" s="17" t="s">
        <v>529</v>
      </c>
      <c r="C63" s="4" t="s">
        <v>7</v>
      </c>
      <c r="D63" s="5" t="d">
        <v>2008-11-22</v>
      </c>
      <c r="E63" s="17">
        <f>2024-2008</f>
        <v>16</v>
      </c>
      <c r="F63" s="6">
        <v>32942339</v>
      </c>
      <c r="G63" s="40" t="s">
        <v>962</v>
      </c>
      <c r="H63" s="4" t="s">
        <v>9</v>
      </c>
      <c r="I63" s="17" t="s">
        <v>4</v>
      </c>
      <c r="J63" s="17" t="s">
        <v>5</v>
      </c>
      <c r="K63" s="27"/>
      <c r="L63" s="27"/>
      <c r="M63" s="27"/>
    </row>
    <row r="64" spans="1:13" ht="17.25" customHeight="1" x14ac:dyDescent="0.25">
      <c r="A64" s="4" t="s">
        <v>530</v>
      </c>
      <c r="B64" s="17" t="s">
        <v>531</v>
      </c>
      <c r="C64" s="4" t="s">
        <v>7</v>
      </c>
      <c r="D64" s="5" t="d">
        <v>2018-05-01</v>
      </c>
      <c r="E64" s="17">
        <f>2024-2018</f>
        <v>6</v>
      </c>
      <c r="F64" s="6" t="s">
        <v>824</v>
      </c>
      <c r="G64" s="40" t="s">
        <v>962</v>
      </c>
      <c r="H64" s="4" t="s">
        <v>9</v>
      </c>
      <c r="I64" s="17" t="s">
        <v>4</v>
      </c>
      <c r="J64" s="17" t="s">
        <v>5</v>
      </c>
      <c r="K64" s="27"/>
      <c r="L64" s="27"/>
      <c r="M64" s="27"/>
    </row>
    <row r="65" spans="1:13" ht="15" customHeight="1" x14ac:dyDescent="0.25">
      <c r="A65" s="4" t="s">
        <v>532</v>
      </c>
      <c r="B65" s="17" t="s">
        <v>533</v>
      </c>
      <c r="C65" s="4" t="s">
        <v>2</v>
      </c>
      <c r="D65" s="5" t="d">
        <v>2021-03-31</v>
      </c>
      <c r="E65" s="17">
        <f>2024-2021</f>
        <v>3</v>
      </c>
      <c r="F65" s="6" t="s">
        <v>825</v>
      </c>
      <c r="G65" s="40" t="s">
        <v>962</v>
      </c>
      <c r="H65" s="4" t="s">
        <v>6</v>
      </c>
      <c r="I65" s="17" t="s">
        <v>4</v>
      </c>
      <c r="J65" s="17" t="s">
        <v>5</v>
      </c>
      <c r="K65" s="27"/>
      <c r="L65" s="27"/>
      <c r="M65" s="27"/>
    </row>
    <row r="66" spans="1:13" x14ac:dyDescent="0.25">
      <c r="A66" s="22" t="s">
        <v>79</v>
      </c>
      <c r="B66" s="22" t="s">
        <v>80</v>
      </c>
      <c r="C66" s="22" t="s">
        <v>2</v>
      </c>
      <c r="D66" s="2" t="d">
        <v>1985-02-16</v>
      </c>
      <c r="E66" s="22">
        <f>2025-1985</f>
        <v>40</v>
      </c>
      <c r="F66" s="7">
        <v>16664338</v>
      </c>
      <c r="G66" s="23" t="s">
        <v>3</v>
      </c>
      <c r="H66" s="23" t="s">
        <v>3</v>
      </c>
      <c r="I66" s="22" t="s">
        <v>31</v>
      </c>
      <c r="J66" s="23" t="s">
        <v>5</v>
      </c>
      <c r="K66" s="27"/>
      <c r="L66" s="27"/>
      <c r="M66" s="27"/>
    </row>
    <row r="67" spans="1:13" ht="15" customHeight="1" x14ac:dyDescent="0.25">
      <c r="A67" s="4" t="s">
        <v>81</v>
      </c>
      <c r="B67" s="17" t="s">
        <v>82</v>
      </c>
      <c r="C67" s="4" t="s">
        <v>7</v>
      </c>
      <c r="D67" s="5" t="d">
        <v>1978-02-13</v>
      </c>
      <c r="E67" s="17">
        <f>2025-1978</f>
        <v>47</v>
      </c>
      <c r="F67" s="6">
        <v>15032762</v>
      </c>
      <c r="G67" s="40" t="s">
        <v>962</v>
      </c>
      <c r="H67" s="39" t="s">
        <v>960</v>
      </c>
      <c r="I67" s="17" t="s">
        <v>4</v>
      </c>
      <c r="J67" s="17" t="s">
        <v>5</v>
      </c>
      <c r="K67" s="27"/>
      <c r="L67" s="27"/>
      <c r="M67" s="27"/>
    </row>
    <row r="68" spans="1:13" ht="15" customHeight="1" x14ac:dyDescent="0.25">
      <c r="A68" s="4" t="s">
        <v>83</v>
      </c>
      <c r="B68" s="17" t="s">
        <v>84</v>
      </c>
      <c r="C68" s="4" t="s">
        <v>2</v>
      </c>
      <c r="D68" s="5" t="d">
        <v>2003-09-12</v>
      </c>
      <c r="E68" s="17">
        <f>2024-2003</f>
        <v>21</v>
      </c>
      <c r="F68" s="6">
        <v>30270180</v>
      </c>
      <c r="G68" s="40" t="s">
        <v>962</v>
      </c>
      <c r="H68" s="4" t="s">
        <v>6</v>
      </c>
      <c r="I68" s="17" t="s">
        <v>4</v>
      </c>
      <c r="J68" s="17" t="s">
        <v>5</v>
      </c>
      <c r="K68" s="27"/>
      <c r="L68" s="27"/>
      <c r="M68" s="27"/>
    </row>
    <row r="69" spans="1:13" ht="18.75" customHeight="1" x14ac:dyDescent="0.25">
      <c r="A69" s="4" t="s">
        <v>83</v>
      </c>
      <c r="B69" s="17" t="s">
        <v>85</v>
      </c>
      <c r="C69" s="4" t="s">
        <v>7</v>
      </c>
      <c r="D69" s="5" t="d">
        <v>2014-09-19</v>
      </c>
      <c r="E69" s="17">
        <f>2024-2014</f>
        <v>10</v>
      </c>
      <c r="F69" s="6">
        <v>36388849</v>
      </c>
      <c r="G69" s="40" t="s">
        <v>962</v>
      </c>
      <c r="H69" s="17" t="s">
        <v>9</v>
      </c>
      <c r="I69" s="17" t="s">
        <v>4</v>
      </c>
      <c r="J69" s="17" t="s">
        <v>5</v>
      </c>
      <c r="K69" s="27"/>
      <c r="L69" s="27"/>
      <c r="M69" s="27"/>
    </row>
    <row r="70" spans="1:13" x14ac:dyDescent="0.25">
      <c r="A70" s="1" t="s">
        <v>696</v>
      </c>
      <c r="B70" s="22" t="s">
        <v>697</v>
      </c>
      <c r="C70" s="2" t="s">
        <v>2</v>
      </c>
      <c r="D70" s="2" t="d">
        <v>1959-11-24</v>
      </c>
      <c r="E70" s="1">
        <f>2024-1959</f>
        <v>65</v>
      </c>
      <c r="F70" s="3">
        <v>5508276</v>
      </c>
      <c r="G70" s="23" t="s">
        <v>3</v>
      </c>
      <c r="H70" s="23" t="s">
        <v>3</v>
      </c>
      <c r="I70" s="22" t="s">
        <v>4</v>
      </c>
      <c r="J70" s="22" t="s">
        <v>5</v>
      </c>
      <c r="K70" s="27"/>
      <c r="L70" s="27"/>
      <c r="M70" s="27"/>
    </row>
    <row r="71" spans="1:13" ht="16.5" customHeight="1" x14ac:dyDescent="0.25">
      <c r="A71" s="1" t="s">
        <v>307</v>
      </c>
      <c r="B71" s="22" t="s">
        <v>308</v>
      </c>
      <c r="C71" s="22" t="s">
        <v>2</v>
      </c>
      <c r="D71" s="2" t="d">
        <v>1963-07-07</v>
      </c>
      <c r="E71" s="1">
        <f>2024-1963</f>
        <v>61</v>
      </c>
      <c r="F71" s="3">
        <v>7940284</v>
      </c>
      <c r="G71" s="23" t="s">
        <v>3</v>
      </c>
      <c r="H71" s="23" t="s">
        <v>3</v>
      </c>
      <c r="I71" s="22" t="s">
        <v>31</v>
      </c>
      <c r="J71" s="23" t="s">
        <v>5</v>
      </c>
      <c r="K71" s="27"/>
      <c r="L71" s="27"/>
      <c r="M71" s="27"/>
    </row>
    <row r="72" spans="1:13" ht="17.25" customHeight="1" x14ac:dyDescent="0.25">
      <c r="A72" s="4" t="s">
        <v>339</v>
      </c>
      <c r="B72" s="17" t="s">
        <v>340</v>
      </c>
      <c r="C72" s="4" t="s">
        <v>7</v>
      </c>
      <c r="D72" s="5" t="d">
        <v>1961-02-01</v>
      </c>
      <c r="E72" s="17">
        <f>2025-1961</f>
        <v>64</v>
      </c>
      <c r="F72" s="6">
        <v>7653849</v>
      </c>
      <c r="G72" s="40" t="s">
        <v>962</v>
      </c>
      <c r="H72" s="39" t="s">
        <v>960</v>
      </c>
      <c r="I72" s="17" t="s">
        <v>31</v>
      </c>
      <c r="J72" s="17" t="s">
        <v>5</v>
      </c>
      <c r="K72" s="27"/>
      <c r="L72" s="27"/>
      <c r="M72" s="27"/>
    </row>
    <row r="73" spans="1:13" ht="15" customHeight="1" x14ac:dyDescent="0.25">
      <c r="A73" s="4" t="s">
        <v>341</v>
      </c>
      <c r="B73" s="17" t="s">
        <v>342</v>
      </c>
      <c r="C73" s="4" t="s">
        <v>7</v>
      </c>
      <c r="D73" s="5" t="d">
        <v>2015-10-23</v>
      </c>
      <c r="E73" s="17">
        <f>2024-2015</f>
        <v>9</v>
      </c>
      <c r="F73" s="6" t="s">
        <v>804</v>
      </c>
      <c r="G73" s="40" t="s">
        <v>962</v>
      </c>
      <c r="H73" s="4" t="s">
        <v>15</v>
      </c>
      <c r="I73" s="17" t="s">
        <v>4</v>
      </c>
      <c r="J73" s="17" t="s">
        <v>5</v>
      </c>
      <c r="K73" s="27"/>
      <c r="L73" s="27"/>
      <c r="M73" s="27"/>
    </row>
    <row r="74" spans="1:13" ht="15.75" customHeight="1" x14ac:dyDescent="0.25">
      <c r="A74" s="4" t="s">
        <v>343</v>
      </c>
      <c r="B74" s="17" t="s">
        <v>344</v>
      </c>
      <c r="C74" s="4" t="s">
        <v>7</v>
      </c>
      <c r="D74" s="5" t="d">
        <v>2022-01-06</v>
      </c>
      <c r="E74" s="17">
        <f>2025-2022</f>
        <v>3</v>
      </c>
      <c r="F74" s="6" t="s">
        <v>805</v>
      </c>
      <c r="G74" s="40" t="s">
        <v>962</v>
      </c>
      <c r="H74" s="4" t="s">
        <v>15</v>
      </c>
      <c r="I74" s="17" t="s">
        <v>4</v>
      </c>
      <c r="J74" s="17" t="s">
        <v>5</v>
      </c>
      <c r="K74" s="27"/>
      <c r="L74" s="27"/>
      <c r="M74" s="27"/>
    </row>
    <row r="75" spans="1:13" ht="12.75" customHeight="1" x14ac:dyDescent="0.25">
      <c r="A75" s="4" t="s">
        <v>343</v>
      </c>
      <c r="B75" s="17" t="s">
        <v>345</v>
      </c>
      <c r="C75" s="4" t="s">
        <v>7</v>
      </c>
      <c r="D75" s="5" t="d">
        <v>2013-07-02</v>
      </c>
      <c r="E75" s="17">
        <f>2024-2013</f>
        <v>11</v>
      </c>
      <c r="F75" s="6">
        <v>36214331</v>
      </c>
      <c r="G75" s="40" t="s">
        <v>962</v>
      </c>
      <c r="H75" s="4" t="s">
        <v>15</v>
      </c>
      <c r="I75" s="17" t="s">
        <v>4</v>
      </c>
      <c r="J75" s="17" t="s">
        <v>5</v>
      </c>
      <c r="K75" s="27"/>
      <c r="L75" s="27"/>
      <c r="M75" s="27"/>
    </row>
    <row r="76" spans="1:13" x14ac:dyDescent="0.25">
      <c r="A76" s="1" t="s">
        <v>62</v>
      </c>
      <c r="B76" s="22" t="s">
        <v>63</v>
      </c>
      <c r="C76" s="1" t="s">
        <v>2</v>
      </c>
      <c r="D76" s="24" t="d">
        <v>1948-05-05</v>
      </c>
      <c r="E76" s="22">
        <f>2024-1948</f>
        <v>76</v>
      </c>
      <c r="F76" s="3">
        <v>3039160</v>
      </c>
      <c r="G76" s="23" t="s">
        <v>3</v>
      </c>
      <c r="H76" s="23" t="s">
        <v>3</v>
      </c>
      <c r="I76" s="23" t="s">
        <v>30</v>
      </c>
      <c r="J76" s="23" t="s">
        <v>5</v>
      </c>
      <c r="K76" s="27"/>
      <c r="L76" s="27"/>
      <c r="M76" s="27"/>
    </row>
    <row r="77" spans="1:13" ht="17.25" customHeight="1" x14ac:dyDescent="0.25">
      <c r="A77" s="4" t="s">
        <v>67</v>
      </c>
      <c r="B77" s="17" t="s">
        <v>68</v>
      </c>
      <c r="C77" s="4" t="s">
        <v>7</v>
      </c>
      <c r="D77" s="5" t="d">
        <v>1956-08-24</v>
      </c>
      <c r="E77" s="17">
        <f>2024-1956</f>
        <v>68</v>
      </c>
      <c r="F77" s="6">
        <v>4491710</v>
      </c>
      <c r="G77" s="40" t="s">
        <v>962</v>
      </c>
      <c r="H77" s="39" t="s">
        <v>960</v>
      </c>
      <c r="I77" s="17" t="s">
        <v>30</v>
      </c>
      <c r="J77" s="17" t="s">
        <v>5</v>
      </c>
      <c r="K77" s="27"/>
      <c r="L77" s="27"/>
      <c r="M77" s="27"/>
    </row>
    <row r="78" spans="1:13" ht="17.25" customHeight="1" x14ac:dyDescent="0.25">
      <c r="A78" s="4" t="s">
        <v>69</v>
      </c>
      <c r="B78" s="17" t="s">
        <v>70</v>
      </c>
      <c r="C78" s="4" t="s">
        <v>2</v>
      </c>
      <c r="D78" s="5" t="d">
        <v>2012-01-10</v>
      </c>
      <c r="E78" s="17">
        <f>2025-2012</f>
        <v>13</v>
      </c>
      <c r="F78" s="6">
        <v>33938515</v>
      </c>
      <c r="G78" s="40" t="s">
        <v>962</v>
      </c>
      <c r="H78" s="4" t="s">
        <v>17</v>
      </c>
      <c r="I78" s="17" t="s">
        <v>4</v>
      </c>
      <c r="J78" s="17" t="s">
        <v>5</v>
      </c>
      <c r="K78" s="27"/>
      <c r="L78" s="27"/>
      <c r="M78" s="27"/>
    </row>
    <row r="79" spans="1:13" ht="16.5" customHeight="1" x14ac:dyDescent="0.25">
      <c r="A79" s="4" t="s">
        <v>71</v>
      </c>
      <c r="B79" s="17" t="s">
        <v>72</v>
      </c>
      <c r="C79" s="4" t="s">
        <v>2</v>
      </c>
      <c r="D79" s="5" t="d">
        <v>2012-01-10</v>
      </c>
      <c r="E79" s="17">
        <f>2025-2012</f>
        <v>13</v>
      </c>
      <c r="F79" s="6">
        <v>33938541</v>
      </c>
      <c r="G79" s="40" t="s">
        <v>962</v>
      </c>
      <c r="H79" s="4" t="s">
        <v>17</v>
      </c>
      <c r="I79" s="17" t="s">
        <v>4</v>
      </c>
      <c r="J79" s="17" t="s">
        <v>5</v>
      </c>
      <c r="K79" s="27"/>
      <c r="L79" s="27"/>
      <c r="M79" s="27"/>
    </row>
    <row r="80" spans="1:13" ht="15.75" customHeight="1" x14ac:dyDescent="0.25">
      <c r="A80" s="1" t="s">
        <v>191</v>
      </c>
      <c r="B80" s="22" t="s">
        <v>192</v>
      </c>
      <c r="C80" s="1" t="s">
        <v>2</v>
      </c>
      <c r="D80" s="2" t="d">
        <v>1970-06-22</v>
      </c>
      <c r="E80" s="1">
        <f>2024-1970</f>
        <v>54</v>
      </c>
      <c r="F80" s="3">
        <v>10102380</v>
      </c>
      <c r="G80" s="23" t="s">
        <v>3</v>
      </c>
      <c r="H80" s="23" t="s">
        <v>3</v>
      </c>
      <c r="I80" s="22" t="s">
        <v>31</v>
      </c>
      <c r="J80" s="23" t="s">
        <v>5</v>
      </c>
      <c r="K80" s="27"/>
      <c r="L80" s="27"/>
      <c r="M80" s="27"/>
    </row>
    <row r="81" spans="1:13" x14ac:dyDescent="0.25">
      <c r="A81" s="4" t="s">
        <v>193</v>
      </c>
      <c r="B81" s="17" t="s">
        <v>194</v>
      </c>
      <c r="C81" s="4" t="s">
        <v>7</v>
      </c>
      <c r="D81" s="5" t="d">
        <v>1965-07-16</v>
      </c>
      <c r="E81" s="17">
        <f>2024-1965</f>
        <v>59</v>
      </c>
      <c r="F81" s="6">
        <v>7940276</v>
      </c>
      <c r="G81" s="40" t="s">
        <v>962</v>
      </c>
      <c r="H81" s="39" t="s">
        <v>960</v>
      </c>
      <c r="I81" s="17" t="s">
        <v>31</v>
      </c>
      <c r="J81" s="17" t="s">
        <v>5</v>
      </c>
      <c r="K81" s="27"/>
      <c r="L81" s="27"/>
      <c r="M81" s="27"/>
    </row>
    <row r="82" spans="1:13" ht="15.75" customHeight="1" x14ac:dyDescent="0.25">
      <c r="A82" s="4" t="s">
        <v>195</v>
      </c>
      <c r="B82" s="17" t="s">
        <v>196</v>
      </c>
      <c r="C82" s="4" t="s">
        <v>7</v>
      </c>
      <c r="D82" s="5" t="d">
        <v>2010-06-20</v>
      </c>
      <c r="E82" s="17">
        <f>2024-2010</f>
        <v>14</v>
      </c>
      <c r="F82" s="6">
        <v>34016591</v>
      </c>
      <c r="G82" s="40" t="s">
        <v>962</v>
      </c>
      <c r="H82" s="4" t="s">
        <v>9</v>
      </c>
      <c r="I82" s="17" t="s">
        <v>4</v>
      </c>
      <c r="J82" s="17" t="s">
        <v>5</v>
      </c>
      <c r="K82" s="27"/>
      <c r="L82" s="27"/>
      <c r="M82" s="27"/>
    </row>
    <row r="83" spans="1:13" ht="17.25" customHeight="1" x14ac:dyDescent="0.25">
      <c r="A83" s="4" t="s">
        <v>197</v>
      </c>
      <c r="B83" s="17" t="s">
        <v>198</v>
      </c>
      <c r="C83" s="4" t="s">
        <v>7</v>
      </c>
      <c r="D83" s="5" t="d">
        <v>2010-04-03</v>
      </c>
      <c r="E83" s="17">
        <f>2024-2010</f>
        <v>14</v>
      </c>
      <c r="F83" s="6">
        <v>34016590</v>
      </c>
      <c r="G83" s="40" t="s">
        <v>962</v>
      </c>
      <c r="H83" s="4" t="s">
        <v>15</v>
      </c>
      <c r="I83" s="17" t="s">
        <v>4</v>
      </c>
      <c r="J83" s="17" t="s">
        <v>5</v>
      </c>
      <c r="K83" s="27"/>
      <c r="L83" s="27"/>
      <c r="M83" s="27"/>
    </row>
    <row r="84" spans="1:13" ht="14.25" customHeight="1" x14ac:dyDescent="0.25">
      <c r="A84" s="4" t="s">
        <v>199</v>
      </c>
      <c r="B84" s="17" t="s">
        <v>200</v>
      </c>
      <c r="C84" s="4" t="s">
        <v>2</v>
      </c>
      <c r="D84" s="5" t="d">
        <v>2016-02-23</v>
      </c>
      <c r="E84" s="17">
        <f>2025-2016</f>
        <v>9</v>
      </c>
      <c r="F84" s="6" t="s">
        <v>790</v>
      </c>
      <c r="G84" s="40" t="s">
        <v>962</v>
      </c>
      <c r="H84" s="4" t="s">
        <v>17</v>
      </c>
      <c r="I84" s="17" t="s">
        <v>4</v>
      </c>
      <c r="J84" s="17" t="s">
        <v>5</v>
      </c>
      <c r="K84" s="27"/>
      <c r="L84" s="27"/>
      <c r="M84" s="27"/>
    </row>
    <row r="85" spans="1:13" ht="15.75" customHeight="1" x14ac:dyDescent="0.25">
      <c r="A85" s="4" t="s">
        <v>201</v>
      </c>
      <c r="B85" s="17" t="s">
        <v>202</v>
      </c>
      <c r="C85" s="4" t="s">
        <v>2</v>
      </c>
      <c r="D85" s="5" t="d">
        <v>2022-12-25</v>
      </c>
      <c r="E85" s="17">
        <f>2024-2022</f>
        <v>2</v>
      </c>
      <c r="F85" s="6" t="s">
        <v>791</v>
      </c>
      <c r="G85" s="40" t="s">
        <v>962</v>
      </c>
      <c r="H85" s="4" t="s">
        <v>17</v>
      </c>
      <c r="I85" s="17" t="s">
        <v>4</v>
      </c>
      <c r="J85" s="17" t="s">
        <v>5</v>
      </c>
      <c r="K85" s="27"/>
      <c r="L85" s="27"/>
      <c r="M85" s="27"/>
    </row>
    <row r="86" spans="1:13" ht="15.75" customHeight="1" x14ac:dyDescent="0.25">
      <c r="A86" s="1" t="s">
        <v>399</v>
      </c>
      <c r="B86" s="22" t="s">
        <v>400</v>
      </c>
      <c r="C86" s="22" t="s">
        <v>2</v>
      </c>
      <c r="D86" s="2" t="d">
        <v>1950-03-21</v>
      </c>
      <c r="E86" s="1">
        <f>2024-1950</f>
        <v>74</v>
      </c>
      <c r="F86" s="3">
        <v>3940134</v>
      </c>
      <c r="G86" s="23" t="s">
        <v>3</v>
      </c>
      <c r="H86" s="23" t="s">
        <v>3</v>
      </c>
      <c r="I86" s="22" t="s">
        <v>4</v>
      </c>
      <c r="J86" s="23" t="s">
        <v>5</v>
      </c>
      <c r="K86" s="27"/>
      <c r="L86" s="27"/>
      <c r="M86" s="27"/>
    </row>
    <row r="87" spans="1:13" x14ac:dyDescent="0.25">
      <c r="A87" s="4" t="s">
        <v>959</v>
      </c>
      <c r="B87" s="17" t="s">
        <v>401</v>
      </c>
      <c r="C87" s="17" t="s">
        <v>7</v>
      </c>
      <c r="D87" s="5" t="d">
        <v>2004-07-04</v>
      </c>
      <c r="E87" s="4">
        <f>2024-2004</f>
        <v>20</v>
      </c>
      <c r="F87" s="6">
        <v>30192979</v>
      </c>
      <c r="G87" s="40" t="s">
        <v>962</v>
      </c>
      <c r="H87" s="4" t="s">
        <v>15</v>
      </c>
      <c r="I87" s="17" t="s">
        <v>4</v>
      </c>
      <c r="J87" s="17" t="s">
        <v>5</v>
      </c>
      <c r="K87" s="27"/>
      <c r="L87" s="27"/>
      <c r="M87" s="27"/>
    </row>
    <row r="88" spans="1:13" x14ac:dyDescent="0.25">
      <c r="A88" s="22" t="s">
        <v>730</v>
      </c>
      <c r="B88" s="22" t="s">
        <v>731</v>
      </c>
      <c r="C88" s="22" t="s">
        <v>2</v>
      </c>
      <c r="D88" s="28" t="d">
        <v>1968-12-12</v>
      </c>
      <c r="E88" s="22">
        <f>2024-1968</f>
        <v>56</v>
      </c>
      <c r="F88" s="7">
        <v>9953078</v>
      </c>
      <c r="G88" s="22" t="s">
        <v>3</v>
      </c>
      <c r="H88" s="22" t="s">
        <v>3</v>
      </c>
      <c r="I88" s="22" t="s">
        <v>4</v>
      </c>
      <c r="J88" s="22" t="s">
        <v>5</v>
      </c>
      <c r="K88" s="27"/>
      <c r="L88" s="27"/>
      <c r="M88" s="27"/>
    </row>
    <row r="89" spans="1:13" x14ac:dyDescent="0.25">
      <c r="A89" s="22" t="s">
        <v>732</v>
      </c>
      <c r="B89" s="22" t="s">
        <v>733</v>
      </c>
      <c r="C89" s="22" t="s">
        <v>2</v>
      </c>
      <c r="D89" s="28" t="d">
        <v>1969-01-15</v>
      </c>
      <c r="E89" s="22">
        <f>2025-1969</f>
        <v>56</v>
      </c>
      <c r="F89" s="7">
        <v>9474335</v>
      </c>
      <c r="G89" s="22" t="s">
        <v>3</v>
      </c>
      <c r="H89" s="22" t="s">
        <v>3</v>
      </c>
      <c r="I89" s="22" t="s">
        <v>31</v>
      </c>
      <c r="J89" s="22" t="s">
        <v>5</v>
      </c>
      <c r="K89" s="27"/>
      <c r="L89" s="27"/>
      <c r="M89" s="27"/>
    </row>
    <row r="90" spans="1:13" ht="15" customHeight="1" x14ac:dyDescent="0.25">
      <c r="A90" s="1" t="s">
        <v>901</v>
      </c>
      <c r="B90" s="10" t="s">
        <v>268</v>
      </c>
      <c r="C90" s="2" t="s">
        <v>2</v>
      </c>
      <c r="D90" s="2" t="d">
        <v>1957-02-08</v>
      </c>
      <c r="E90" s="1">
        <f>2025-1957</f>
        <v>68</v>
      </c>
      <c r="F90" s="3">
        <v>8071350</v>
      </c>
      <c r="G90" s="23" t="s">
        <v>3</v>
      </c>
      <c r="H90" s="23" t="s">
        <v>3</v>
      </c>
      <c r="I90" s="22" t="s">
        <v>4</v>
      </c>
      <c r="J90" s="23" t="s">
        <v>5</v>
      </c>
      <c r="K90" s="27"/>
      <c r="L90" s="27"/>
      <c r="M90" s="27"/>
    </row>
    <row r="91" spans="1:13" ht="15.75" customHeight="1" x14ac:dyDescent="0.25">
      <c r="A91" s="4" t="s">
        <v>269</v>
      </c>
      <c r="B91" s="11" t="s">
        <v>270</v>
      </c>
      <c r="C91" s="4" t="s">
        <v>2</v>
      </c>
      <c r="D91" s="5" t="d">
        <v>1991-10-09</v>
      </c>
      <c r="E91" s="4">
        <f>2024-1991</f>
        <v>33</v>
      </c>
      <c r="F91" s="6">
        <v>24853204</v>
      </c>
      <c r="G91" s="40" t="s">
        <v>962</v>
      </c>
      <c r="H91" s="4" t="s">
        <v>6</v>
      </c>
      <c r="I91" s="17" t="s">
        <v>4</v>
      </c>
      <c r="J91" s="17" t="s">
        <v>5</v>
      </c>
      <c r="K91" s="27"/>
      <c r="L91" s="27"/>
      <c r="M91" s="27"/>
    </row>
    <row r="92" spans="1:13" ht="15" customHeight="1" x14ac:dyDescent="0.25">
      <c r="A92" s="4" t="s">
        <v>271</v>
      </c>
      <c r="B92" s="4" t="s">
        <v>272</v>
      </c>
      <c r="C92" s="4" t="s">
        <v>2</v>
      </c>
      <c r="D92" s="5" t="d">
        <v>2017-01-20</v>
      </c>
      <c r="E92" s="4">
        <f>2025-2017</f>
        <v>8</v>
      </c>
      <c r="F92" s="6" t="s">
        <v>801</v>
      </c>
      <c r="G92" s="40" t="s">
        <v>962</v>
      </c>
      <c r="H92" s="4" t="s">
        <v>17</v>
      </c>
      <c r="I92" s="17" t="s">
        <v>4</v>
      </c>
      <c r="J92" s="17" t="s">
        <v>5</v>
      </c>
      <c r="K92" s="27"/>
      <c r="L92" s="27"/>
      <c r="M92" s="27"/>
    </row>
    <row r="93" spans="1:13" ht="20.25" customHeight="1" x14ac:dyDescent="0.25">
      <c r="A93" s="4" t="s">
        <v>273</v>
      </c>
      <c r="B93" s="11" t="s">
        <v>274</v>
      </c>
      <c r="C93" s="4" t="s">
        <v>7</v>
      </c>
      <c r="D93" s="5" t="d">
        <v>2009-10-29</v>
      </c>
      <c r="E93" s="4">
        <f>2024-2009</f>
        <v>15</v>
      </c>
      <c r="F93" s="6">
        <v>33271199</v>
      </c>
      <c r="G93" s="40" t="s">
        <v>962</v>
      </c>
      <c r="H93" s="4" t="s">
        <v>15</v>
      </c>
      <c r="I93" s="17" t="s">
        <v>4</v>
      </c>
      <c r="J93" s="17" t="s">
        <v>5</v>
      </c>
      <c r="K93" s="27"/>
      <c r="L93" s="27"/>
      <c r="M93" s="27"/>
    </row>
    <row r="94" spans="1:13" ht="17.25" customHeight="1" x14ac:dyDescent="0.25">
      <c r="A94" s="4" t="s">
        <v>273</v>
      </c>
      <c r="B94" s="4" t="s">
        <v>275</v>
      </c>
      <c r="C94" s="4" t="s">
        <v>7</v>
      </c>
      <c r="D94" s="5" t="d">
        <v>2016-02-24</v>
      </c>
      <c r="E94" s="4">
        <f>2025-2016</f>
        <v>9</v>
      </c>
      <c r="F94" s="6" t="s">
        <v>802</v>
      </c>
      <c r="G94" s="40" t="s">
        <v>962</v>
      </c>
      <c r="H94" s="4" t="s">
        <v>15</v>
      </c>
      <c r="I94" s="17" t="s">
        <v>4</v>
      </c>
      <c r="J94" s="17" t="s">
        <v>5</v>
      </c>
      <c r="K94" s="27"/>
      <c r="L94" s="27"/>
      <c r="M94" s="27"/>
    </row>
    <row r="95" spans="1:13" x14ac:dyDescent="0.25">
      <c r="A95" s="1" t="s">
        <v>73</v>
      </c>
      <c r="B95" s="22" t="s">
        <v>74</v>
      </c>
      <c r="C95" s="1" t="s">
        <v>2</v>
      </c>
      <c r="D95" s="24" t="d">
        <v>1961-05-05</v>
      </c>
      <c r="E95" s="22">
        <f>2024-1961</f>
        <v>63</v>
      </c>
      <c r="F95" s="3">
        <v>8022594</v>
      </c>
      <c r="G95" s="23" t="s">
        <v>3</v>
      </c>
      <c r="H95" s="23" t="s">
        <v>3</v>
      </c>
      <c r="I95" s="22" t="s">
        <v>4</v>
      </c>
      <c r="J95" s="23" t="s">
        <v>5</v>
      </c>
      <c r="K95" s="27"/>
      <c r="L95" s="27"/>
      <c r="M95" s="27"/>
    </row>
    <row r="96" spans="1:13" x14ac:dyDescent="0.25">
      <c r="A96" s="4" t="s">
        <v>75</v>
      </c>
      <c r="B96" s="17" t="s">
        <v>76</v>
      </c>
      <c r="C96" s="4" t="s">
        <v>7</v>
      </c>
      <c r="D96" s="5" t="d">
        <v>1950-09-27</v>
      </c>
      <c r="E96" s="17">
        <f>2024-1950</f>
        <v>74</v>
      </c>
      <c r="F96" s="6">
        <v>3039357</v>
      </c>
      <c r="G96" s="40" t="s">
        <v>962</v>
      </c>
      <c r="H96" s="39" t="s">
        <v>960</v>
      </c>
      <c r="I96" s="17" t="s">
        <v>4</v>
      </c>
      <c r="J96" s="17" t="s">
        <v>5</v>
      </c>
      <c r="K96" s="27"/>
      <c r="L96" s="27"/>
      <c r="M96" s="27"/>
    </row>
    <row r="97" spans="1:13" ht="15" customHeight="1" x14ac:dyDescent="0.25">
      <c r="A97" s="4" t="s">
        <v>77</v>
      </c>
      <c r="B97" s="17" t="s">
        <v>78</v>
      </c>
      <c r="C97" s="4" t="s">
        <v>2</v>
      </c>
      <c r="D97" s="5" t="d">
        <v>2013-09-16</v>
      </c>
      <c r="E97" s="17">
        <f>2024-2013</f>
        <v>11</v>
      </c>
      <c r="F97" s="6">
        <v>35017280</v>
      </c>
      <c r="G97" s="40" t="s">
        <v>962</v>
      </c>
      <c r="H97" s="4" t="s">
        <v>17</v>
      </c>
      <c r="I97" s="17" t="s">
        <v>4</v>
      </c>
      <c r="J97" s="17" t="s">
        <v>5</v>
      </c>
      <c r="K97" s="27"/>
      <c r="L97" s="27"/>
      <c r="M97" s="27"/>
    </row>
    <row r="98" spans="1:13" ht="20.25" customHeight="1" x14ac:dyDescent="0.25">
      <c r="A98" s="1" t="s">
        <v>552</v>
      </c>
      <c r="B98" s="10" t="s">
        <v>553</v>
      </c>
      <c r="C98" s="1" t="s">
        <v>7</v>
      </c>
      <c r="D98" s="2" t="d">
        <v>1964-09-04</v>
      </c>
      <c r="E98" s="1">
        <f>2024-1964</f>
        <v>60</v>
      </c>
      <c r="F98" s="3">
        <v>8083714</v>
      </c>
      <c r="G98" s="23" t="s">
        <v>3</v>
      </c>
      <c r="H98" s="23" t="s">
        <v>3</v>
      </c>
      <c r="I98" s="22" t="s">
        <v>4</v>
      </c>
      <c r="J98" s="23" t="s">
        <v>5</v>
      </c>
      <c r="K98" s="27"/>
      <c r="L98" s="27"/>
      <c r="M98" s="27"/>
    </row>
    <row r="99" spans="1:13" ht="15" customHeight="1" x14ac:dyDescent="0.25">
      <c r="A99" s="4" t="s">
        <v>554</v>
      </c>
      <c r="B99" s="11" t="s">
        <v>555</v>
      </c>
      <c r="C99" s="4" t="s">
        <v>2</v>
      </c>
      <c r="D99" s="5" t="d">
        <v>1972-10-27</v>
      </c>
      <c r="E99" s="4">
        <f>2024-1972</f>
        <v>52</v>
      </c>
      <c r="F99" s="6">
        <v>10904357</v>
      </c>
      <c r="G99" s="40" t="s">
        <v>962</v>
      </c>
      <c r="H99" s="39" t="s">
        <v>961</v>
      </c>
      <c r="I99" s="17" t="s">
        <v>4</v>
      </c>
      <c r="J99" s="17" t="s">
        <v>5</v>
      </c>
      <c r="K99" s="27"/>
      <c r="L99" s="27"/>
      <c r="M99" s="27"/>
    </row>
    <row r="100" spans="1:13" ht="18.75" customHeight="1" x14ac:dyDescent="0.25">
      <c r="A100" s="4" t="s">
        <v>556</v>
      </c>
      <c r="B100" s="11" t="s">
        <v>557</v>
      </c>
      <c r="C100" s="4" t="s">
        <v>2</v>
      </c>
      <c r="D100" s="5" t="d">
        <v>2001-08-27</v>
      </c>
      <c r="E100" s="4">
        <f>2024-2001</f>
        <v>23</v>
      </c>
      <c r="F100" s="6">
        <v>27933703</v>
      </c>
      <c r="G100" s="40" t="s">
        <v>962</v>
      </c>
      <c r="H100" s="4" t="s">
        <v>6</v>
      </c>
      <c r="I100" s="17" t="s">
        <v>4</v>
      </c>
      <c r="J100" s="17" t="s">
        <v>5</v>
      </c>
      <c r="K100" s="27"/>
      <c r="L100" s="27"/>
      <c r="M100" s="27"/>
    </row>
    <row r="101" spans="1:13" ht="15" customHeight="1" x14ac:dyDescent="0.25">
      <c r="A101" s="4" t="s">
        <v>558</v>
      </c>
      <c r="B101" s="4" t="s">
        <v>559</v>
      </c>
      <c r="C101" s="4" t="s">
        <v>7</v>
      </c>
      <c r="D101" s="5" t="d">
        <v>2022-11-23</v>
      </c>
      <c r="E101" s="4">
        <f>2024-2022</f>
        <v>2</v>
      </c>
      <c r="F101" s="6" t="s">
        <v>828</v>
      </c>
      <c r="G101" s="40" t="s">
        <v>962</v>
      </c>
      <c r="H101" s="4" t="s">
        <v>15</v>
      </c>
      <c r="I101" s="17" t="s">
        <v>4</v>
      </c>
      <c r="J101" s="17" t="s">
        <v>5</v>
      </c>
      <c r="K101" s="27"/>
      <c r="L101" s="27"/>
      <c r="M101" s="27"/>
    </row>
    <row r="102" spans="1:13" ht="15.75" customHeight="1" x14ac:dyDescent="0.25">
      <c r="A102" s="1" t="s">
        <v>433</v>
      </c>
      <c r="B102" s="22" t="s">
        <v>434</v>
      </c>
      <c r="C102" s="1" t="s">
        <v>2</v>
      </c>
      <c r="D102" s="2" t="d">
        <v>1966-05-28</v>
      </c>
      <c r="E102" s="22">
        <f>2024-1966</f>
        <v>58</v>
      </c>
      <c r="F102" s="3">
        <v>10712300</v>
      </c>
      <c r="G102" s="23" t="s">
        <v>3</v>
      </c>
      <c r="H102" s="23" t="s">
        <v>3</v>
      </c>
      <c r="I102" s="22" t="s">
        <v>4</v>
      </c>
      <c r="J102" s="23" t="s">
        <v>5</v>
      </c>
      <c r="K102" s="27"/>
      <c r="L102" s="27"/>
      <c r="M102" s="27"/>
    </row>
    <row r="103" spans="1:13" ht="13.5" customHeight="1" x14ac:dyDescent="0.25">
      <c r="A103" s="4" t="s">
        <v>435</v>
      </c>
      <c r="B103" s="17" t="s">
        <v>436</v>
      </c>
      <c r="C103" s="4" t="s">
        <v>7</v>
      </c>
      <c r="D103" s="5" t="d">
        <v>1964-10-01</v>
      </c>
      <c r="E103" s="17">
        <f>2024-1964</f>
        <v>60</v>
      </c>
      <c r="F103" s="6">
        <v>8048807</v>
      </c>
      <c r="G103" s="40" t="s">
        <v>962</v>
      </c>
      <c r="H103" s="39" t="s">
        <v>960</v>
      </c>
      <c r="I103" s="17" t="s">
        <v>4</v>
      </c>
      <c r="J103" s="17" t="s">
        <v>5</v>
      </c>
      <c r="K103" s="27"/>
      <c r="L103" s="27"/>
      <c r="M103" s="27"/>
    </row>
    <row r="104" spans="1:13" ht="14.25" customHeight="1" x14ac:dyDescent="0.25">
      <c r="A104" s="4" t="s">
        <v>437</v>
      </c>
      <c r="B104" s="17" t="s">
        <v>438</v>
      </c>
      <c r="C104" s="4" t="s">
        <v>7</v>
      </c>
      <c r="D104" s="5" t="d">
        <v>2003-03-08</v>
      </c>
      <c r="E104" s="17">
        <f>2024-2003</f>
        <v>21</v>
      </c>
      <c r="F104" s="6">
        <v>29652548</v>
      </c>
      <c r="G104" s="40" t="s">
        <v>962</v>
      </c>
      <c r="H104" s="4" t="s">
        <v>15</v>
      </c>
      <c r="I104" s="17" t="s">
        <v>4</v>
      </c>
      <c r="J104" s="17" t="s">
        <v>5</v>
      </c>
      <c r="K104" s="27"/>
      <c r="L104" s="27"/>
      <c r="M104" s="27"/>
    </row>
    <row r="105" spans="1:13" ht="15.75" customHeight="1" x14ac:dyDescent="0.25">
      <c r="A105" s="4" t="s">
        <v>439</v>
      </c>
      <c r="B105" s="17" t="s">
        <v>440</v>
      </c>
      <c r="C105" s="4" t="s">
        <v>7</v>
      </c>
      <c r="D105" s="5" t="d">
        <v>2007-07-09</v>
      </c>
      <c r="E105" s="17">
        <f>2024-2007</f>
        <v>17</v>
      </c>
      <c r="F105" s="6">
        <v>31895977</v>
      </c>
      <c r="G105" s="40" t="s">
        <v>962</v>
      </c>
      <c r="H105" s="4" t="s">
        <v>15</v>
      </c>
      <c r="I105" s="17" t="s">
        <v>4</v>
      </c>
      <c r="J105" s="17" t="s">
        <v>5</v>
      </c>
      <c r="K105" s="27"/>
      <c r="L105" s="27"/>
      <c r="M105" s="27"/>
    </row>
    <row r="106" spans="1:13" ht="13.5" customHeight="1" x14ac:dyDescent="0.25">
      <c r="A106" s="4" t="s">
        <v>437</v>
      </c>
      <c r="B106" s="17" t="s">
        <v>441</v>
      </c>
      <c r="C106" s="4" t="s">
        <v>2</v>
      </c>
      <c r="D106" s="5" t="d">
        <v>2015-02-10</v>
      </c>
      <c r="E106" s="17">
        <f>2025-2015</f>
        <v>10</v>
      </c>
      <c r="F106" s="6">
        <v>36405643</v>
      </c>
      <c r="G106" s="40" t="s">
        <v>962</v>
      </c>
      <c r="H106" s="4" t="s">
        <v>17</v>
      </c>
      <c r="I106" s="17" t="s">
        <v>4</v>
      </c>
      <c r="J106" s="17" t="s">
        <v>5</v>
      </c>
      <c r="K106" s="27"/>
      <c r="L106" s="27"/>
      <c r="M106" s="27"/>
    </row>
    <row r="107" spans="1:13" ht="12.75" customHeight="1" x14ac:dyDescent="0.25">
      <c r="A107" s="1" t="s">
        <v>714</v>
      </c>
      <c r="B107" s="22" t="s">
        <v>715</v>
      </c>
      <c r="C107" s="1" t="s">
        <v>2</v>
      </c>
      <c r="D107" s="2" t="d">
        <v>1999-09-30</v>
      </c>
      <c r="E107" s="22">
        <f>2024-1999</f>
        <v>25</v>
      </c>
      <c r="F107" s="3">
        <v>26931043</v>
      </c>
      <c r="G107" s="23" t="s">
        <v>3</v>
      </c>
      <c r="H107" s="23" t="s">
        <v>3</v>
      </c>
      <c r="I107" s="22" t="s">
        <v>4</v>
      </c>
      <c r="J107" s="22" t="s">
        <v>5</v>
      </c>
      <c r="K107" s="27"/>
      <c r="L107" s="27"/>
      <c r="M107" s="27"/>
    </row>
    <row r="108" spans="1:13" ht="12.75" customHeight="1" x14ac:dyDescent="0.25">
      <c r="A108" s="4" t="s">
        <v>716</v>
      </c>
      <c r="B108" s="17" t="s">
        <v>717</v>
      </c>
      <c r="C108" s="4" t="s">
        <v>2</v>
      </c>
      <c r="D108" s="5" t="d">
        <v>2020-11-16</v>
      </c>
      <c r="E108" s="17">
        <f>2024-2020</f>
        <v>4</v>
      </c>
      <c r="F108" s="6" t="s">
        <v>850</v>
      </c>
      <c r="G108" s="40" t="s">
        <v>962</v>
      </c>
      <c r="H108" s="4" t="s">
        <v>6</v>
      </c>
      <c r="I108" s="17" t="s">
        <v>4</v>
      </c>
      <c r="J108" s="17" t="s">
        <v>5</v>
      </c>
      <c r="K108" s="27"/>
      <c r="L108" s="27"/>
      <c r="M108" s="27"/>
    </row>
    <row r="109" spans="1:13" x14ac:dyDescent="0.25">
      <c r="A109" s="4" t="s">
        <v>718</v>
      </c>
      <c r="B109" s="17" t="s">
        <v>719</v>
      </c>
      <c r="C109" s="4" t="s">
        <v>7</v>
      </c>
      <c r="D109" s="5" t="d">
        <v>1996-10-16</v>
      </c>
      <c r="E109" s="17">
        <f>2024-1996</f>
        <v>28</v>
      </c>
      <c r="F109" s="6">
        <v>26932044</v>
      </c>
      <c r="G109" s="40" t="s">
        <v>962</v>
      </c>
      <c r="H109" s="39" t="s">
        <v>960</v>
      </c>
      <c r="I109" s="17" t="s">
        <v>4</v>
      </c>
      <c r="J109" s="17" t="s">
        <v>5</v>
      </c>
      <c r="K109" s="27"/>
      <c r="L109" s="27"/>
      <c r="M109" s="27"/>
    </row>
    <row r="110" spans="1:13" ht="16.5" customHeight="1" x14ac:dyDescent="0.25">
      <c r="A110" s="1" t="s">
        <v>615</v>
      </c>
      <c r="B110" s="22" t="s">
        <v>616</v>
      </c>
      <c r="C110" s="1" t="s">
        <v>2</v>
      </c>
      <c r="D110" s="2" t="d">
        <v>1961-01-22</v>
      </c>
      <c r="E110" s="1">
        <f>2025-1961</f>
        <v>64</v>
      </c>
      <c r="F110" s="3">
        <v>7648249</v>
      </c>
      <c r="G110" s="23" t="s">
        <v>3</v>
      </c>
      <c r="H110" s="23" t="s">
        <v>3</v>
      </c>
      <c r="I110" s="22" t="s">
        <v>4</v>
      </c>
      <c r="J110" s="23" t="s">
        <v>5</v>
      </c>
      <c r="K110" s="27"/>
      <c r="L110" s="27"/>
      <c r="M110" s="27"/>
    </row>
    <row r="111" spans="1:13" ht="15.75" customHeight="1" x14ac:dyDescent="0.25">
      <c r="A111" s="4" t="s">
        <v>617</v>
      </c>
      <c r="B111" s="17" t="s">
        <v>618</v>
      </c>
      <c r="C111" s="4" t="s">
        <v>2</v>
      </c>
      <c r="D111" s="5" t="d">
        <v>2006-01-05</v>
      </c>
      <c r="E111" s="4">
        <f>2025-2006</f>
        <v>19</v>
      </c>
      <c r="F111" s="6">
        <v>31310776</v>
      </c>
      <c r="G111" s="40" t="s">
        <v>962</v>
      </c>
      <c r="H111" s="4" t="s">
        <v>17</v>
      </c>
      <c r="I111" s="17" t="s">
        <v>4</v>
      </c>
      <c r="J111" s="17" t="s">
        <v>5</v>
      </c>
      <c r="K111" s="27"/>
      <c r="L111" s="27"/>
      <c r="M111" s="27"/>
    </row>
    <row r="112" spans="1:13" ht="18.75" customHeight="1" x14ac:dyDescent="0.25">
      <c r="A112" s="4" t="s">
        <v>619</v>
      </c>
      <c r="B112" s="17" t="s">
        <v>620</v>
      </c>
      <c r="C112" s="4" t="s">
        <v>7</v>
      </c>
      <c r="D112" s="5" t="d">
        <v>2006-06-06</v>
      </c>
      <c r="E112" s="4">
        <f>2024-2006</f>
        <v>18</v>
      </c>
      <c r="F112" s="6">
        <v>31837140</v>
      </c>
      <c r="G112" s="40" t="s">
        <v>962</v>
      </c>
      <c r="H112" s="4" t="s">
        <v>15</v>
      </c>
      <c r="I112" s="17" t="s">
        <v>4</v>
      </c>
      <c r="J112" s="17" t="s">
        <v>5</v>
      </c>
      <c r="K112" s="27"/>
      <c r="L112" s="27"/>
      <c r="M112" s="27"/>
    </row>
    <row r="113" spans="1:13" ht="15" customHeight="1" x14ac:dyDescent="0.25">
      <c r="A113" s="4" t="s">
        <v>617</v>
      </c>
      <c r="B113" s="17" t="s">
        <v>621</v>
      </c>
      <c r="C113" s="4" t="s">
        <v>2</v>
      </c>
      <c r="D113" s="5" t="d">
        <v>2008-04-01</v>
      </c>
      <c r="E113" s="4">
        <f>2024-2008</f>
        <v>16</v>
      </c>
      <c r="F113" s="6">
        <v>32923513</v>
      </c>
      <c r="G113" s="40" t="s">
        <v>962</v>
      </c>
      <c r="H113" s="4" t="s">
        <v>17</v>
      </c>
      <c r="I113" s="17" t="s">
        <v>4</v>
      </c>
      <c r="J113" s="17" t="s">
        <v>5</v>
      </c>
      <c r="K113" s="27"/>
      <c r="L113" s="27"/>
      <c r="M113" s="27"/>
    </row>
    <row r="114" spans="1:13" ht="15" customHeight="1" x14ac:dyDescent="0.25">
      <c r="A114" s="4" t="s">
        <v>622</v>
      </c>
      <c r="B114" s="17" t="s">
        <v>623</v>
      </c>
      <c r="C114" s="4" t="s">
        <v>7</v>
      </c>
      <c r="D114" s="5" t="d">
        <v>2017-07-14</v>
      </c>
      <c r="E114" s="4">
        <f>2024-2014</f>
        <v>10</v>
      </c>
      <c r="F114" s="6" t="s">
        <v>839</v>
      </c>
      <c r="G114" s="40" t="s">
        <v>962</v>
      </c>
      <c r="H114" s="4" t="s">
        <v>17</v>
      </c>
      <c r="I114" s="17" t="s">
        <v>4</v>
      </c>
      <c r="J114" s="17" t="s">
        <v>5</v>
      </c>
      <c r="K114" s="27"/>
      <c r="L114" s="27"/>
      <c r="M114" s="27"/>
    </row>
    <row r="115" spans="1:13" ht="18" customHeight="1" x14ac:dyDescent="0.25">
      <c r="A115" s="1" t="s">
        <v>605</v>
      </c>
      <c r="B115" s="22" t="s">
        <v>606</v>
      </c>
      <c r="C115" s="1" t="s">
        <v>2</v>
      </c>
      <c r="D115" s="2" t="d">
        <v>1967-12-11</v>
      </c>
      <c r="E115" s="22">
        <f>2024-1967</f>
        <v>57</v>
      </c>
      <c r="F115" s="3">
        <v>8087981</v>
      </c>
      <c r="G115" s="23" t="s">
        <v>3</v>
      </c>
      <c r="H115" s="23" t="s">
        <v>3</v>
      </c>
      <c r="I115" s="22" t="s">
        <v>31</v>
      </c>
      <c r="J115" s="23" t="s">
        <v>5</v>
      </c>
      <c r="K115" s="27"/>
      <c r="L115" s="27"/>
      <c r="M115" s="27"/>
    </row>
    <row r="116" spans="1:13" ht="15" customHeight="1" x14ac:dyDescent="0.25">
      <c r="A116" s="4" t="s">
        <v>607</v>
      </c>
      <c r="B116" s="17" t="s">
        <v>608</v>
      </c>
      <c r="C116" s="4" t="s">
        <v>7</v>
      </c>
      <c r="D116" s="5" t="d">
        <v>1961-07-21</v>
      </c>
      <c r="E116" s="17">
        <f>2024-1961</f>
        <v>63</v>
      </c>
      <c r="F116" s="6">
        <v>8073019</v>
      </c>
      <c r="G116" s="40" t="s">
        <v>962</v>
      </c>
      <c r="H116" s="39" t="s">
        <v>960</v>
      </c>
      <c r="I116" s="17" t="s">
        <v>31</v>
      </c>
      <c r="J116" s="17" t="s">
        <v>5</v>
      </c>
      <c r="K116" s="27"/>
      <c r="L116" s="27"/>
      <c r="M116" s="27"/>
    </row>
    <row r="117" spans="1:13" x14ac:dyDescent="0.25">
      <c r="A117" s="4" t="s">
        <v>609</v>
      </c>
      <c r="B117" s="17" t="s">
        <v>610</v>
      </c>
      <c r="C117" s="4" t="s">
        <v>2</v>
      </c>
      <c r="D117" s="5" t="d">
        <v>2011-05-16</v>
      </c>
      <c r="E117" s="17">
        <f>2024-2011</f>
        <v>13</v>
      </c>
      <c r="F117" s="6">
        <v>34477325</v>
      </c>
      <c r="G117" s="40" t="s">
        <v>962</v>
      </c>
      <c r="H117" s="4" t="s">
        <v>17</v>
      </c>
      <c r="I117" s="17" t="s">
        <v>4</v>
      </c>
      <c r="J117" s="17" t="s">
        <v>5</v>
      </c>
      <c r="K117" s="27"/>
      <c r="L117" s="27"/>
      <c r="M117" s="27"/>
    </row>
    <row r="118" spans="1:13" x14ac:dyDescent="0.25">
      <c r="A118" s="4" t="s">
        <v>609</v>
      </c>
      <c r="B118" s="17" t="s">
        <v>611</v>
      </c>
      <c r="C118" s="4" t="s">
        <v>7</v>
      </c>
      <c r="D118" s="5" t="d">
        <v>2012-07-01</v>
      </c>
      <c r="E118" s="17">
        <f>2024-2012</f>
        <v>12</v>
      </c>
      <c r="F118" s="6">
        <v>36553362</v>
      </c>
      <c r="G118" s="40" t="s">
        <v>962</v>
      </c>
      <c r="H118" s="4" t="s">
        <v>15</v>
      </c>
      <c r="I118" s="17" t="s">
        <v>4</v>
      </c>
      <c r="J118" s="17" t="s">
        <v>5</v>
      </c>
      <c r="K118" s="27"/>
      <c r="L118" s="27"/>
      <c r="M118" s="27"/>
    </row>
    <row r="119" spans="1:13" x14ac:dyDescent="0.25">
      <c r="A119" s="4" t="s">
        <v>612</v>
      </c>
      <c r="B119" s="17" t="s">
        <v>613</v>
      </c>
      <c r="C119" s="4" t="s">
        <v>2</v>
      </c>
      <c r="D119" s="5" t="d">
        <v>2016-12-04</v>
      </c>
      <c r="E119" s="17">
        <f>2024-2016</f>
        <v>8</v>
      </c>
      <c r="F119" s="6" t="s">
        <v>837</v>
      </c>
      <c r="G119" s="40" t="s">
        <v>962</v>
      </c>
      <c r="H119" s="4" t="s">
        <v>17</v>
      </c>
      <c r="I119" s="17" t="s">
        <v>4</v>
      </c>
      <c r="J119" s="17" t="s">
        <v>5</v>
      </c>
      <c r="K119" s="27"/>
      <c r="L119" s="27"/>
      <c r="M119" s="27"/>
    </row>
    <row r="120" spans="1:13" x14ac:dyDescent="0.25">
      <c r="A120" s="4" t="s">
        <v>612</v>
      </c>
      <c r="B120" s="17" t="s">
        <v>614</v>
      </c>
      <c r="C120" s="4" t="s">
        <v>2</v>
      </c>
      <c r="D120" s="5" t="d">
        <v>2023-07-14</v>
      </c>
      <c r="E120" s="17">
        <f>2024-2023</f>
        <v>1</v>
      </c>
      <c r="F120" s="6" t="s">
        <v>838</v>
      </c>
      <c r="G120" s="40" t="s">
        <v>962</v>
      </c>
      <c r="H120" s="4" t="s">
        <v>17</v>
      </c>
      <c r="I120" s="17" t="s">
        <v>4</v>
      </c>
      <c r="J120" s="17" t="s">
        <v>5</v>
      </c>
      <c r="K120" s="27"/>
      <c r="L120" s="27"/>
      <c r="M120" s="27"/>
    </row>
    <row r="121" spans="1:13" ht="15.75" customHeight="1" x14ac:dyDescent="0.25">
      <c r="A121" s="1" t="s">
        <v>11</v>
      </c>
      <c r="B121" s="12" t="s">
        <v>12</v>
      </c>
      <c r="C121" s="23" t="s">
        <v>7</v>
      </c>
      <c r="D121" s="2" t="d">
        <v>1963-01-27</v>
      </c>
      <c r="E121" s="23">
        <f>2025-1963</f>
        <v>62</v>
      </c>
      <c r="F121" s="14">
        <v>5781927</v>
      </c>
      <c r="G121" s="23" t="s">
        <v>3</v>
      </c>
      <c r="H121" s="23" t="s">
        <v>3</v>
      </c>
      <c r="I121" s="23" t="s">
        <v>4</v>
      </c>
      <c r="J121" s="23" t="s">
        <v>5</v>
      </c>
      <c r="K121" s="27"/>
      <c r="L121" s="27"/>
      <c r="M121" s="27"/>
    </row>
    <row r="122" spans="1:13" x14ac:dyDescent="0.25">
      <c r="A122" s="17" t="s">
        <v>13</v>
      </c>
      <c r="B122" s="13" t="s">
        <v>14</v>
      </c>
      <c r="C122" s="17" t="s">
        <v>2</v>
      </c>
      <c r="D122" s="5" t="d">
        <v>1965-03-23</v>
      </c>
      <c r="E122" s="17">
        <f>2024-1965</f>
        <v>59</v>
      </c>
      <c r="F122" s="8">
        <v>5787082</v>
      </c>
      <c r="G122" s="40" t="s">
        <v>962</v>
      </c>
      <c r="H122" s="39" t="s">
        <v>961</v>
      </c>
      <c r="I122" s="17" t="s">
        <v>4</v>
      </c>
      <c r="J122" s="17" t="s">
        <v>5</v>
      </c>
      <c r="K122" s="27"/>
      <c r="L122" s="27"/>
      <c r="M122" s="27"/>
    </row>
    <row r="123" spans="1:13" x14ac:dyDescent="0.25">
      <c r="A123" s="1" t="s">
        <v>671</v>
      </c>
      <c r="B123" s="22" t="s">
        <v>670</v>
      </c>
      <c r="C123" s="1" t="s">
        <v>2</v>
      </c>
      <c r="D123" s="2" t="d">
        <v>1970-06-06</v>
      </c>
      <c r="E123" s="22">
        <f>2024-1970</f>
        <v>54</v>
      </c>
      <c r="F123" s="3">
        <v>10899995</v>
      </c>
      <c r="G123" s="23" t="s">
        <v>3</v>
      </c>
      <c r="H123" s="23" t="s">
        <v>3</v>
      </c>
      <c r="I123" s="22" t="s">
        <v>4</v>
      </c>
      <c r="J123" s="22" t="s">
        <v>5</v>
      </c>
      <c r="K123" s="27"/>
      <c r="L123" s="27"/>
      <c r="M123" s="27"/>
    </row>
    <row r="124" spans="1:13" x14ac:dyDescent="0.25">
      <c r="A124" s="4" t="s">
        <v>672</v>
      </c>
      <c r="B124" s="17" t="s">
        <v>669</v>
      </c>
      <c r="C124" s="4" t="s">
        <v>7</v>
      </c>
      <c r="D124" s="5" t="d">
        <v>1973-09-23</v>
      </c>
      <c r="E124" s="17">
        <f>2024-1973</f>
        <v>51</v>
      </c>
      <c r="F124" s="6">
        <v>12355451</v>
      </c>
      <c r="G124" s="40" t="s">
        <v>962</v>
      </c>
      <c r="H124" s="39" t="s">
        <v>960</v>
      </c>
      <c r="I124" s="17" t="s">
        <v>4</v>
      </c>
      <c r="J124" s="17" t="s">
        <v>5</v>
      </c>
      <c r="K124" s="27"/>
      <c r="L124" s="27"/>
      <c r="M124" s="27"/>
    </row>
    <row r="125" spans="1:13" x14ac:dyDescent="0.25">
      <c r="A125" s="4" t="s">
        <v>673</v>
      </c>
      <c r="B125" s="17" t="s">
        <v>674</v>
      </c>
      <c r="C125" s="4" t="s">
        <v>2</v>
      </c>
      <c r="D125" s="5" t="d">
        <v>2018-03-06</v>
      </c>
      <c r="E125" s="17">
        <f>2024-2018</f>
        <v>6</v>
      </c>
      <c r="F125" s="6" t="s">
        <v>845</v>
      </c>
      <c r="G125" s="40" t="s">
        <v>962</v>
      </c>
      <c r="H125" s="4" t="s">
        <v>17</v>
      </c>
      <c r="I125" s="17" t="s">
        <v>4</v>
      </c>
      <c r="J125" s="17" t="s">
        <v>5</v>
      </c>
      <c r="K125" s="27"/>
      <c r="L125" s="27"/>
      <c r="M125" s="27"/>
    </row>
    <row r="126" spans="1:13" x14ac:dyDescent="0.25">
      <c r="A126" s="4" t="s">
        <v>673</v>
      </c>
      <c r="B126" s="17" t="s">
        <v>675</v>
      </c>
      <c r="C126" s="4" t="s">
        <v>2</v>
      </c>
      <c r="D126" s="5" t="d">
        <v>2019-04-03</v>
      </c>
      <c r="E126" s="17">
        <f>2024-2019</f>
        <v>5</v>
      </c>
      <c r="F126" s="6" t="s">
        <v>846</v>
      </c>
      <c r="G126" s="40" t="s">
        <v>962</v>
      </c>
      <c r="H126" s="4" t="s">
        <v>17</v>
      </c>
      <c r="I126" s="17" t="s">
        <v>4</v>
      </c>
      <c r="J126" s="17" t="s">
        <v>5</v>
      </c>
      <c r="K126" s="27"/>
      <c r="L126" s="27"/>
      <c r="M126" s="27"/>
    </row>
    <row r="127" spans="1:13" x14ac:dyDescent="0.25">
      <c r="A127" s="4" t="s">
        <v>671</v>
      </c>
      <c r="B127" s="17" t="s">
        <v>676</v>
      </c>
      <c r="C127" s="4" t="s">
        <v>2</v>
      </c>
      <c r="D127" s="5" t="d">
        <v>1952-02-08</v>
      </c>
      <c r="E127" s="17">
        <f>2024-1952</f>
        <v>72</v>
      </c>
      <c r="F127" s="6">
        <v>4468753</v>
      </c>
      <c r="G127" s="40" t="s">
        <v>962</v>
      </c>
      <c r="H127" s="4" t="s">
        <v>8</v>
      </c>
      <c r="I127" s="17" t="s">
        <v>4</v>
      </c>
      <c r="J127" s="17" t="s">
        <v>5</v>
      </c>
      <c r="K127" s="27"/>
      <c r="L127" s="27"/>
      <c r="M127" s="27"/>
    </row>
    <row r="128" spans="1:13" ht="14.25" customHeight="1" x14ac:dyDescent="0.25">
      <c r="A128" s="1" t="s">
        <v>114</v>
      </c>
      <c r="B128" s="22" t="s">
        <v>115</v>
      </c>
      <c r="C128" s="22" t="s">
        <v>2</v>
      </c>
      <c r="D128" s="2" t="d">
        <v>1990-05-26</v>
      </c>
      <c r="E128" s="22">
        <f>2024-1990</f>
        <v>34</v>
      </c>
      <c r="F128" s="3">
        <v>19592132</v>
      </c>
      <c r="G128" s="23" t="s">
        <v>3</v>
      </c>
      <c r="H128" s="23" t="s">
        <v>3</v>
      </c>
      <c r="I128" s="22" t="s">
        <v>4</v>
      </c>
      <c r="J128" s="23" t="s">
        <v>5</v>
      </c>
      <c r="K128" s="27"/>
      <c r="L128" s="27"/>
      <c r="M128" s="27"/>
    </row>
    <row r="129" spans="1:13" ht="14.25" customHeight="1" x14ac:dyDescent="0.25">
      <c r="A129" s="4" t="s">
        <v>116</v>
      </c>
      <c r="B129" s="17" t="s">
        <v>117</v>
      </c>
      <c r="C129" s="4" t="s">
        <v>2</v>
      </c>
      <c r="D129" s="5" t="d">
        <v>1955-04-27</v>
      </c>
      <c r="E129" s="17">
        <f>2024-1955</f>
        <v>69</v>
      </c>
      <c r="F129" s="6">
        <v>8012891</v>
      </c>
      <c r="G129" s="40" t="s">
        <v>962</v>
      </c>
      <c r="H129" s="4" t="s">
        <v>8</v>
      </c>
      <c r="I129" s="17" t="s">
        <v>66</v>
      </c>
      <c r="J129" s="17" t="s">
        <v>5</v>
      </c>
      <c r="K129" s="27"/>
      <c r="L129" s="27"/>
      <c r="M129" s="27"/>
    </row>
    <row r="130" spans="1:13" ht="12.75" customHeight="1" x14ac:dyDescent="0.25">
      <c r="A130" s="4" t="s">
        <v>118</v>
      </c>
      <c r="B130" s="17" t="s">
        <v>119</v>
      </c>
      <c r="C130" s="4" t="s">
        <v>2</v>
      </c>
      <c r="D130" s="5" t="d">
        <v>2002-12-08</v>
      </c>
      <c r="E130" s="17">
        <f>2024-2002</f>
        <v>22</v>
      </c>
      <c r="F130" s="6">
        <v>29886219</v>
      </c>
      <c r="G130" s="40" t="s">
        <v>962</v>
      </c>
      <c r="H130" s="4" t="s">
        <v>17</v>
      </c>
      <c r="I130" s="17" t="s">
        <v>4</v>
      </c>
      <c r="J130" s="17" t="s">
        <v>5</v>
      </c>
      <c r="K130" s="27"/>
      <c r="L130" s="27"/>
      <c r="M130" s="27"/>
    </row>
    <row r="131" spans="1:13" ht="15" customHeight="1" x14ac:dyDescent="0.25">
      <c r="A131" s="4" t="s">
        <v>120</v>
      </c>
      <c r="B131" s="17" t="s">
        <v>121</v>
      </c>
      <c r="C131" s="4" t="s">
        <v>7</v>
      </c>
      <c r="D131" s="5" t="d">
        <v>2007-11-01</v>
      </c>
      <c r="E131" s="17">
        <f>2024-2007</f>
        <v>17</v>
      </c>
      <c r="F131" s="6">
        <v>32239694</v>
      </c>
      <c r="G131" s="40" t="s">
        <v>962</v>
      </c>
      <c r="H131" s="4" t="s">
        <v>15</v>
      </c>
      <c r="I131" s="17" t="s">
        <v>4</v>
      </c>
      <c r="J131" s="17" t="s">
        <v>5</v>
      </c>
      <c r="K131" s="27"/>
      <c r="L131" s="27"/>
      <c r="M131" s="27"/>
    </row>
    <row r="132" spans="1:13" ht="15.75" customHeight="1" x14ac:dyDescent="0.25">
      <c r="A132" s="1" t="s">
        <v>167</v>
      </c>
      <c r="B132" s="22" t="s">
        <v>168</v>
      </c>
      <c r="C132" s="1" t="s">
        <v>2</v>
      </c>
      <c r="D132" s="2" t="d">
        <v>1955-08-01</v>
      </c>
      <c r="E132" s="1">
        <f>2024-1955</f>
        <v>69</v>
      </c>
      <c r="F132" s="3">
        <v>7650297</v>
      </c>
      <c r="G132" s="23" t="s">
        <v>3</v>
      </c>
      <c r="H132" s="23" t="s">
        <v>3</v>
      </c>
      <c r="I132" s="22" t="s">
        <v>66</v>
      </c>
      <c r="J132" s="23" t="s">
        <v>5</v>
      </c>
      <c r="K132" s="27"/>
      <c r="L132" s="27"/>
      <c r="M132" s="27"/>
    </row>
    <row r="133" spans="1:13" ht="16.5" customHeight="1" x14ac:dyDescent="0.25">
      <c r="A133" s="4" t="s">
        <v>169</v>
      </c>
      <c r="B133" s="17" t="s">
        <v>170</v>
      </c>
      <c r="C133" s="4" t="s">
        <v>7</v>
      </c>
      <c r="D133" s="5" t="d">
        <v>2012-04-27</v>
      </c>
      <c r="E133" s="4">
        <f>2024-2012</f>
        <v>12</v>
      </c>
      <c r="F133" s="6">
        <v>34107282</v>
      </c>
      <c r="G133" s="40" t="s">
        <v>962</v>
      </c>
      <c r="H133" s="4" t="s">
        <v>15</v>
      </c>
      <c r="I133" s="17" t="s">
        <v>4</v>
      </c>
      <c r="J133" s="17" t="s">
        <v>5</v>
      </c>
      <c r="K133" s="27"/>
      <c r="L133" s="27"/>
      <c r="M133" s="27"/>
    </row>
    <row r="134" spans="1:13" ht="13.5" customHeight="1" x14ac:dyDescent="0.25">
      <c r="A134" s="4" t="s">
        <v>171</v>
      </c>
      <c r="B134" s="4" t="s">
        <v>172</v>
      </c>
      <c r="C134" s="4" t="s">
        <v>7</v>
      </c>
      <c r="D134" s="5" t="d">
        <v>2015-04-30</v>
      </c>
      <c r="E134" s="4">
        <f>2024-2015</f>
        <v>9</v>
      </c>
      <c r="F134" s="8" t="s">
        <v>784</v>
      </c>
      <c r="G134" s="40" t="s">
        <v>962</v>
      </c>
      <c r="H134" s="4" t="s">
        <v>15</v>
      </c>
      <c r="I134" s="17" t="s">
        <v>4</v>
      </c>
      <c r="J134" s="17" t="s">
        <v>5</v>
      </c>
      <c r="K134" s="27"/>
      <c r="L134" s="27"/>
      <c r="M134" s="27"/>
    </row>
    <row r="135" spans="1:13" ht="17.25" customHeight="1" x14ac:dyDescent="0.25">
      <c r="A135" s="4" t="s">
        <v>169</v>
      </c>
      <c r="B135" s="4" t="s">
        <v>173</v>
      </c>
      <c r="C135" s="4" t="s">
        <v>2</v>
      </c>
      <c r="D135" s="5" t="d">
        <v>2016-07-23</v>
      </c>
      <c r="E135" s="4">
        <f>2024-2016</f>
        <v>8</v>
      </c>
      <c r="F135" s="8" t="s">
        <v>785</v>
      </c>
      <c r="G135" s="40" t="s">
        <v>962</v>
      </c>
      <c r="H135" s="4" t="s">
        <v>17</v>
      </c>
      <c r="I135" s="17" t="s">
        <v>4</v>
      </c>
      <c r="J135" s="17" t="s">
        <v>5</v>
      </c>
      <c r="K135" s="27"/>
      <c r="L135" s="27"/>
      <c r="M135" s="27"/>
    </row>
    <row r="136" spans="1:13" ht="18.75" customHeight="1" x14ac:dyDescent="0.25">
      <c r="A136" s="4" t="s">
        <v>174</v>
      </c>
      <c r="B136" s="4" t="s">
        <v>175</v>
      </c>
      <c r="C136" s="4" t="s">
        <v>2</v>
      </c>
      <c r="D136" s="5" t="d">
        <v>2019-05-06</v>
      </c>
      <c r="E136" s="4">
        <f>2024-2019</f>
        <v>5</v>
      </c>
      <c r="F136" s="8" t="s">
        <v>786</v>
      </c>
      <c r="G136" s="40" t="s">
        <v>962</v>
      </c>
      <c r="H136" s="4" t="s">
        <v>17</v>
      </c>
      <c r="I136" s="17" t="s">
        <v>4</v>
      </c>
      <c r="J136" s="17" t="s">
        <v>5</v>
      </c>
      <c r="K136" s="27"/>
      <c r="L136" s="27"/>
      <c r="M136" s="27"/>
    </row>
    <row r="137" spans="1:13" ht="18" customHeight="1" x14ac:dyDescent="0.25">
      <c r="A137" s="4" t="s">
        <v>171</v>
      </c>
      <c r="B137" s="4" t="s">
        <v>176</v>
      </c>
      <c r="C137" s="4" t="s">
        <v>7</v>
      </c>
      <c r="D137" s="5" t="d">
        <v>2019-05-06</v>
      </c>
      <c r="E137" s="4">
        <f>2024-2019</f>
        <v>5</v>
      </c>
      <c r="F137" s="8" t="s">
        <v>787</v>
      </c>
      <c r="G137" s="40" t="s">
        <v>962</v>
      </c>
      <c r="H137" s="4" t="s">
        <v>15</v>
      </c>
      <c r="I137" s="17" t="s">
        <v>4</v>
      </c>
      <c r="J137" s="17" t="s">
        <v>5</v>
      </c>
      <c r="K137" s="27"/>
      <c r="L137" s="27"/>
      <c r="M137" s="27"/>
    </row>
    <row r="138" spans="1:13" ht="14.25" customHeight="1" x14ac:dyDescent="0.25">
      <c r="A138" s="1" t="s">
        <v>214</v>
      </c>
      <c r="B138" s="22" t="s">
        <v>215</v>
      </c>
      <c r="C138" s="22" t="s">
        <v>2</v>
      </c>
      <c r="D138" s="2" t="d">
        <v>1948-01-28</v>
      </c>
      <c r="E138" s="1">
        <f>2025-1948</f>
        <v>77</v>
      </c>
      <c r="F138" s="3">
        <v>3004391</v>
      </c>
      <c r="G138" s="23" t="s">
        <v>3</v>
      </c>
      <c r="H138" s="23" t="s">
        <v>3</v>
      </c>
      <c r="I138" s="22" t="s">
        <v>31</v>
      </c>
      <c r="J138" s="23" t="s">
        <v>5</v>
      </c>
      <c r="K138" s="27"/>
      <c r="L138" s="27"/>
      <c r="M138" s="27"/>
    </row>
    <row r="139" spans="1:13" ht="15" customHeight="1" x14ac:dyDescent="0.25">
      <c r="A139" s="4" t="s">
        <v>216</v>
      </c>
      <c r="B139" s="17" t="s">
        <v>217</v>
      </c>
      <c r="C139" s="4" t="s">
        <v>7</v>
      </c>
      <c r="D139" s="5" t="d">
        <v>2003-12-21</v>
      </c>
      <c r="E139" s="17">
        <f>2024-2003</f>
        <v>21</v>
      </c>
      <c r="F139" s="6">
        <v>30364457</v>
      </c>
      <c r="G139" s="40" t="s">
        <v>962</v>
      </c>
      <c r="H139" s="4" t="s">
        <v>15</v>
      </c>
      <c r="I139" s="17" t="s">
        <v>4</v>
      </c>
      <c r="J139" s="17" t="s">
        <v>5</v>
      </c>
      <c r="K139" s="27"/>
      <c r="L139" s="27"/>
      <c r="M139" s="27"/>
    </row>
    <row r="140" spans="1:13" ht="15.75" customHeight="1" x14ac:dyDescent="0.25">
      <c r="A140" s="4" t="s">
        <v>218</v>
      </c>
      <c r="B140" s="17" t="s">
        <v>219</v>
      </c>
      <c r="C140" s="4" t="s">
        <v>7</v>
      </c>
      <c r="D140" s="5" t="d">
        <v>2006-11-14</v>
      </c>
      <c r="E140" s="17">
        <f>2024-2006</f>
        <v>18</v>
      </c>
      <c r="F140" s="6">
        <v>31689849</v>
      </c>
      <c r="G140" s="40" t="s">
        <v>962</v>
      </c>
      <c r="H140" s="4" t="s">
        <v>15</v>
      </c>
      <c r="I140" s="17" t="s">
        <v>4</v>
      </c>
      <c r="J140" s="17" t="s">
        <v>5</v>
      </c>
      <c r="K140" s="27"/>
      <c r="L140" s="27"/>
      <c r="M140" s="27"/>
    </row>
    <row r="141" spans="1:13" ht="17.25" customHeight="1" x14ac:dyDescent="0.25">
      <c r="A141" s="4" t="s">
        <v>218</v>
      </c>
      <c r="B141" s="17" t="s">
        <v>220</v>
      </c>
      <c r="C141" s="4" t="s">
        <v>7</v>
      </c>
      <c r="D141" s="5" t="d">
        <v>2009-09-19</v>
      </c>
      <c r="E141" s="17">
        <f>2024-2009</f>
        <v>15</v>
      </c>
      <c r="F141" s="6">
        <v>32945352</v>
      </c>
      <c r="G141" s="40" t="s">
        <v>962</v>
      </c>
      <c r="H141" s="4" t="s">
        <v>15</v>
      </c>
      <c r="I141" s="17" t="s">
        <v>4</v>
      </c>
      <c r="J141" s="17" t="s">
        <v>5</v>
      </c>
      <c r="K141" s="27"/>
      <c r="L141" s="27"/>
      <c r="M141" s="27"/>
    </row>
    <row r="142" spans="1:13" ht="18" customHeight="1" x14ac:dyDescent="0.25">
      <c r="A142" s="4" t="s">
        <v>221</v>
      </c>
      <c r="B142" s="17" t="s">
        <v>222</v>
      </c>
      <c r="C142" s="4" t="s">
        <v>7</v>
      </c>
      <c r="D142" s="5" t="d">
        <v>2014-03-15</v>
      </c>
      <c r="E142" s="17">
        <f>2024-2014</f>
        <v>10</v>
      </c>
      <c r="F142" s="6">
        <v>36326925</v>
      </c>
      <c r="G142" s="40" t="s">
        <v>962</v>
      </c>
      <c r="H142" s="4" t="s">
        <v>15</v>
      </c>
      <c r="I142" s="17" t="s">
        <v>4</v>
      </c>
      <c r="J142" s="17" t="s">
        <v>5</v>
      </c>
      <c r="K142" s="27"/>
      <c r="L142" s="27"/>
      <c r="M142" s="27"/>
    </row>
    <row r="143" spans="1:13" ht="16.5" customHeight="1" x14ac:dyDescent="0.25">
      <c r="A143" s="1" t="s">
        <v>294</v>
      </c>
      <c r="B143" s="1" t="s">
        <v>904</v>
      </c>
      <c r="C143" s="1" t="s">
        <v>7</v>
      </c>
      <c r="D143" s="25" t="d">
        <v>1954-02-25</v>
      </c>
      <c r="E143" s="22">
        <f>2025-1954</f>
        <v>71</v>
      </c>
      <c r="F143" s="29">
        <v>6578318</v>
      </c>
      <c r="G143" s="30" t="s">
        <v>3</v>
      </c>
      <c r="H143" s="30" t="s">
        <v>3</v>
      </c>
      <c r="I143" s="22" t="s">
        <v>31</v>
      </c>
      <c r="J143" s="30" t="s">
        <v>5</v>
      </c>
      <c r="K143" s="27"/>
      <c r="L143" s="27"/>
      <c r="M143" s="27"/>
    </row>
    <row r="144" spans="1:13" ht="16.5" customHeight="1" x14ac:dyDescent="0.25">
      <c r="A144" s="27" t="s">
        <v>911</v>
      </c>
      <c r="B144" s="27" t="s">
        <v>912</v>
      </c>
      <c r="C144" s="17" t="s">
        <v>2</v>
      </c>
      <c r="D144" s="26" t="d">
        <v>2017-01-03</v>
      </c>
      <c r="E144" s="17">
        <f>2025-2017</f>
        <v>8</v>
      </c>
      <c r="F144" s="36" t="s">
        <v>952</v>
      </c>
      <c r="G144" s="40" t="s">
        <v>962</v>
      </c>
      <c r="H144" s="27" t="s">
        <v>17</v>
      </c>
      <c r="I144" s="17" t="s">
        <v>4</v>
      </c>
      <c r="J144" s="27" t="s">
        <v>5</v>
      </c>
      <c r="K144" s="27"/>
      <c r="L144" s="27"/>
      <c r="M144" s="27"/>
    </row>
    <row r="145" spans="1:13" ht="16.5" customHeight="1" x14ac:dyDescent="0.25">
      <c r="A145" s="27" t="s">
        <v>570</v>
      </c>
      <c r="B145" s="27" t="s">
        <v>913</v>
      </c>
      <c r="C145" s="17" t="s">
        <v>7</v>
      </c>
      <c r="D145" s="26" t="d">
        <v>2014-08-22</v>
      </c>
      <c r="E145" s="17">
        <f>2025-2014</f>
        <v>11</v>
      </c>
      <c r="F145" s="31">
        <v>36867028</v>
      </c>
      <c r="G145" s="40" t="s">
        <v>962</v>
      </c>
      <c r="H145" s="27" t="s">
        <v>15</v>
      </c>
      <c r="I145" s="17" t="s">
        <v>4</v>
      </c>
      <c r="J145" s="27" t="s">
        <v>5</v>
      </c>
      <c r="K145" s="27"/>
      <c r="L145" s="27"/>
      <c r="M145" s="27"/>
    </row>
    <row r="146" spans="1:13" ht="16.5" customHeight="1" x14ac:dyDescent="0.25">
      <c r="A146" s="27" t="s">
        <v>911</v>
      </c>
      <c r="B146" s="27" t="s">
        <v>914</v>
      </c>
      <c r="C146" s="17" t="s">
        <v>7</v>
      </c>
      <c r="D146" s="26" t="d">
        <v>2012-05-27</v>
      </c>
      <c r="E146" s="17">
        <f>2024-2012</f>
        <v>12</v>
      </c>
      <c r="F146" s="31">
        <v>34643077</v>
      </c>
      <c r="G146" s="40" t="s">
        <v>962</v>
      </c>
      <c r="H146" s="27" t="s">
        <v>15</v>
      </c>
      <c r="I146" s="17" t="s">
        <v>4</v>
      </c>
      <c r="J146" s="27" t="s">
        <v>5</v>
      </c>
      <c r="K146" s="27"/>
      <c r="L146" s="27"/>
      <c r="M146" s="27"/>
    </row>
    <row r="147" spans="1:13" ht="16.5" customHeight="1" x14ac:dyDescent="0.25">
      <c r="A147" s="27" t="s">
        <v>570</v>
      </c>
      <c r="B147" s="27" t="s">
        <v>915</v>
      </c>
      <c r="C147" s="17" t="s">
        <v>7</v>
      </c>
      <c r="D147" s="26" t="d">
        <v>2012-03-17</v>
      </c>
      <c r="E147" s="17">
        <f>2025-2012</f>
        <v>13</v>
      </c>
      <c r="F147" s="31">
        <v>34725057</v>
      </c>
      <c r="G147" s="40" t="s">
        <v>962</v>
      </c>
      <c r="H147" s="27" t="s">
        <v>15</v>
      </c>
      <c r="I147" s="17" t="s">
        <v>4</v>
      </c>
      <c r="J147" s="27" t="s">
        <v>5</v>
      </c>
      <c r="K147" s="27"/>
      <c r="L147" s="27"/>
      <c r="M147" s="27"/>
    </row>
    <row r="148" spans="1:13" ht="16.5" customHeight="1" x14ac:dyDescent="0.25">
      <c r="A148" s="27" t="s">
        <v>65</v>
      </c>
      <c r="B148" s="27" t="s">
        <v>916</v>
      </c>
      <c r="C148" s="17" t="s">
        <v>2</v>
      </c>
      <c r="D148" s="26" t="d">
        <v>1962-02-06</v>
      </c>
      <c r="E148" s="17">
        <f>2025-1962</f>
        <v>63</v>
      </c>
      <c r="F148" s="6">
        <v>7940186</v>
      </c>
      <c r="G148" s="40" t="s">
        <v>962</v>
      </c>
      <c r="H148" s="39" t="s">
        <v>961</v>
      </c>
      <c r="I148" s="17" t="s">
        <v>31</v>
      </c>
      <c r="J148" s="27" t="s">
        <v>5</v>
      </c>
      <c r="K148" s="27"/>
      <c r="L148" s="27"/>
      <c r="M148" s="27"/>
    </row>
    <row r="149" spans="1:13" ht="16.5" customHeight="1" x14ac:dyDescent="0.25">
      <c r="A149" s="1" t="s">
        <v>462</v>
      </c>
      <c r="B149" s="22" t="s">
        <v>463</v>
      </c>
      <c r="C149" s="1" t="s">
        <v>2</v>
      </c>
      <c r="D149" s="2" t="d">
        <v>1996-07-12</v>
      </c>
      <c r="E149" s="22">
        <f>2024-1996</f>
        <v>28</v>
      </c>
      <c r="F149" s="3">
        <v>9397809</v>
      </c>
      <c r="G149" s="23" t="s">
        <v>3</v>
      </c>
      <c r="H149" s="23" t="s">
        <v>3</v>
      </c>
      <c r="I149" s="22" t="s">
        <v>4</v>
      </c>
      <c r="J149" s="23" t="s">
        <v>5</v>
      </c>
      <c r="K149" s="27"/>
      <c r="L149" s="27"/>
      <c r="M149" s="27"/>
    </row>
    <row r="150" spans="1:13" ht="16.5" customHeight="1" x14ac:dyDescent="0.25">
      <c r="A150" s="4" t="s">
        <v>464</v>
      </c>
      <c r="B150" s="17" t="s">
        <v>465</v>
      </c>
      <c r="C150" s="4" t="s">
        <v>7</v>
      </c>
      <c r="D150" s="5" t="d">
        <v>1966-01-06</v>
      </c>
      <c r="E150" s="17">
        <f>2025-1966</f>
        <v>59</v>
      </c>
      <c r="F150" s="6">
        <v>8083094</v>
      </c>
      <c r="G150" s="40" t="s">
        <v>962</v>
      </c>
      <c r="H150" s="39" t="s">
        <v>960</v>
      </c>
      <c r="I150" s="17" t="s">
        <v>4</v>
      </c>
      <c r="J150" s="17" t="s">
        <v>5</v>
      </c>
      <c r="K150" s="27"/>
      <c r="L150" s="27"/>
      <c r="M150" s="27"/>
    </row>
    <row r="151" spans="1:13" ht="18" customHeight="1" x14ac:dyDescent="0.25">
      <c r="A151" s="4" t="s">
        <v>466</v>
      </c>
      <c r="B151" s="17" t="s">
        <v>467</v>
      </c>
      <c r="C151" s="4" t="s">
        <v>7</v>
      </c>
      <c r="D151" s="5" t="d">
        <v>2000-10-19</v>
      </c>
      <c r="E151" s="17">
        <f>2024-2000</f>
        <v>24</v>
      </c>
      <c r="F151" s="6">
        <v>27551069</v>
      </c>
      <c r="G151" s="40" t="s">
        <v>962</v>
      </c>
      <c r="H151" s="4" t="s">
        <v>9</v>
      </c>
      <c r="I151" s="17" t="s">
        <v>4</v>
      </c>
      <c r="J151" s="17" t="s">
        <v>5</v>
      </c>
      <c r="K151" s="27"/>
      <c r="L151" s="27"/>
      <c r="M151" s="27"/>
    </row>
    <row r="152" spans="1:13" ht="15" customHeight="1" x14ac:dyDescent="0.25">
      <c r="A152" s="4" t="s">
        <v>468</v>
      </c>
      <c r="B152" s="17" t="s">
        <v>469</v>
      </c>
      <c r="C152" s="4" t="s">
        <v>2</v>
      </c>
      <c r="D152" s="5" t="d">
        <v>2008-08-15</v>
      </c>
      <c r="E152" s="17">
        <f>2024-2008</f>
        <v>16</v>
      </c>
      <c r="F152" s="6">
        <v>32604620</v>
      </c>
      <c r="G152" s="40" t="s">
        <v>962</v>
      </c>
      <c r="H152" s="4" t="s">
        <v>17</v>
      </c>
      <c r="I152" s="17" t="s">
        <v>4</v>
      </c>
      <c r="J152" s="17" t="s">
        <v>5</v>
      </c>
      <c r="K152" s="27"/>
      <c r="L152" s="27"/>
      <c r="M152" s="27"/>
    </row>
    <row r="153" spans="1:13" x14ac:dyDescent="0.25">
      <c r="A153" s="4" t="s">
        <v>470</v>
      </c>
      <c r="B153" s="17" t="s">
        <v>471</v>
      </c>
      <c r="C153" s="4" t="s">
        <v>2</v>
      </c>
      <c r="D153" s="5" t="d">
        <v>2020-02-18</v>
      </c>
      <c r="E153" s="17">
        <f>2025-2020</f>
        <v>5</v>
      </c>
      <c r="F153" s="6" t="s">
        <v>820</v>
      </c>
      <c r="G153" s="40" t="s">
        <v>962</v>
      </c>
      <c r="H153" s="4" t="s">
        <v>17</v>
      </c>
      <c r="I153" s="17" t="s">
        <v>4</v>
      </c>
      <c r="J153" s="17" t="s">
        <v>5</v>
      </c>
      <c r="K153" s="27"/>
      <c r="L153" s="27"/>
      <c r="M153" s="27"/>
    </row>
    <row r="154" spans="1:13" x14ac:dyDescent="0.25">
      <c r="A154" s="4" t="s">
        <v>472</v>
      </c>
      <c r="B154" s="17" t="s">
        <v>473</v>
      </c>
      <c r="C154" s="4" t="s">
        <v>2</v>
      </c>
      <c r="D154" s="5" t="d">
        <v>2020-09-03</v>
      </c>
      <c r="E154" s="17">
        <f>2024-2020</f>
        <v>4</v>
      </c>
      <c r="F154" s="6" t="s">
        <v>821</v>
      </c>
      <c r="G154" s="40" t="s">
        <v>962</v>
      </c>
      <c r="H154" s="4" t="s">
        <v>17</v>
      </c>
      <c r="I154" s="17" t="s">
        <v>4</v>
      </c>
      <c r="J154" s="17" t="s">
        <v>5</v>
      </c>
      <c r="K154" s="27"/>
      <c r="L154" s="27"/>
      <c r="M154" s="27"/>
    </row>
    <row r="155" spans="1:13" ht="16.5" customHeight="1" x14ac:dyDescent="0.25">
      <c r="A155" s="1" t="s">
        <v>677</v>
      </c>
      <c r="B155" s="10" t="s">
        <v>678</v>
      </c>
      <c r="C155" s="22" t="s">
        <v>2</v>
      </c>
      <c r="D155" s="2" t="d">
        <v>1966-05-25</v>
      </c>
      <c r="E155" s="1">
        <f>2024-1966</f>
        <v>58</v>
      </c>
      <c r="F155" s="3">
        <v>9200401</v>
      </c>
      <c r="G155" s="23" t="s">
        <v>3</v>
      </c>
      <c r="H155" s="23" t="s">
        <v>3</v>
      </c>
      <c r="I155" s="22" t="s">
        <v>4</v>
      </c>
      <c r="J155" s="22" t="s">
        <v>5</v>
      </c>
      <c r="K155" s="27"/>
      <c r="L155" s="27"/>
      <c r="M155" s="27"/>
    </row>
    <row r="156" spans="1:13" ht="15.75" customHeight="1" x14ac:dyDescent="0.25">
      <c r="A156" s="1" t="s">
        <v>20</v>
      </c>
      <c r="B156" s="12" t="s">
        <v>21</v>
      </c>
      <c r="C156" s="22" t="s">
        <v>2</v>
      </c>
      <c r="D156" s="2" t="d">
        <v>1989-06-22</v>
      </c>
      <c r="E156" s="23">
        <f>2024-1989</f>
        <v>35</v>
      </c>
      <c r="F156" s="3">
        <v>20197168</v>
      </c>
      <c r="G156" s="23" t="s">
        <v>3</v>
      </c>
      <c r="H156" s="23" t="s">
        <v>3</v>
      </c>
      <c r="I156" s="23" t="s">
        <v>4</v>
      </c>
      <c r="J156" s="23" t="s">
        <v>5</v>
      </c>
      <c r="K156" s="27"/>
      <c r="L156" s="27"/>
      <c r="M156" s="27"/>
    </row>
    <row r="157" spans="1:13" ht="18" customHeight="1" x14ac:dyDescent="0.25">
      <c r="A157" s="4" t="s">
        <v>22</v>
      </c>
      <c r="B157" s="13" t="s">
        <v>23</v>
      </c>
      <c r="C157" s="17" t="s">
        <v>7</v>
      </c>
      <c r="D157" s="5" t="d">
        <v>1986-02-12</v>
      </c>
      <c r="E157" s="17">
        <f>2025-1986</f>
        <v>39</v>
      </c>
      <c r="F157" s="6">
        <v>18124490</v>
      </c>
      <c r="G157" s="40" t="s">
        <v>962</v>
      </c>
      <c r="H157" s="39" t="s">
        <v>960</v>
      </c>
      <c r="I157" s="17" t="s">
        <v>4</v>
      </c>
      <c r="J157" s="17" t="s">
        <v>5</v>
      </c>
      <c r="K157" s="27"/>
      <c r="L157" s="27"/>
      <c r="M157" s="27"/>
    </row>
    <row r="158" spans="1:13" ht="14.25" customHeight="1" x14ac:dyDescent="0.25">
      <c r="A158" s="4" t="s">
        <v>24</v>
      </c>
      <c r="B158" s="13" t="s">
        <v>25</v>
      </c>
      <c r="C158" s="17" t="s">
        <v>2</v>
      </c>
      <c r="D158" s="5" t="d">
        <v>2015-10-31</v>
      </c>
      <c r="E158" s="17">
        <f>2024-2015</f>
        <v>9</v>
      </c>
      <c r="F158" s="6">
        <v>36831840</v>
      </c>
      <c r="G158" s="40" t="s">
        <v>962</v>
      </c>
      <c r="H158" s="4" t="s">
        <v>6</v>
      </c>
      <c r="I158" s="17" t="s">
        <v>4</v>
      </c>
      <c r="J158" s="17" t="s">
        <v>5</v>
      </c>
      <c r="K158" s="27"/>
      <c r="L158" s="27"/>
      <c r="M158" s="27"/>
    </row>
    <row r="159" spans="1:13" ht="14.25" customHeight="1" x14ac:dyDescent="0.25">
      <c r="A159" s="4" t="s">
        <v>24</v>
      </c>
      <c r="B159" s="13" t="s">
        <v>32</v>
      </c>
      <c r="C159" s="17" t="s">
        <v>2</v>
      </c>
      <c r="D159" s="5" t="d">
        <v>2023-04-19</v>
      </c>
      <c r="E159" s="17">
        <f>2024-2023</f>
        <v>1</v>
      </c>
      <c r="F159" s="6" t="s">
        <v>771</v>
      </c>
      <c r="G159" s="40" t="s">
        <v>962</v>
      </c>
      <c r="H159" s="4" t="s">
        <v>6</v>
      </c>
      <c r="I159" s="17" t="s">
        <v>4</v>
      </c>
      <c r="J159" s="17" t="s">
        <v>5</v>
      </c>
      <c r="K159" s="27"/>
      <c r="L159" s="27"/>
      <c r="M159" s="27"/>
    </row>
    <row r="160" spans="1:13" ht="15" customHeight="1" x14ac:dyDescent="0.25">
      <c r="A160" s="4" t="s">
        <v>26</v>
      </c>
      <c r="B160" s="13" t="s">
        <v>27</v>
      </c>
      <c r="C160" s="17" t="s">
        <v>7</v>
      </c>
      <c r="D160" s="5" t="d">
        <v>1958-01-02</v>
      </c>
      <c r="E160" s="17">
        <f>2025-1958</f>
        <v>67</v>
      </c>
      <c r="F160" s="6">
        <v>7648340</v>
      </c>
      <c r="G160" s="40" t="s">
        <v>962</v>
      </c>
      <c r="H160" s="4" t="s">
        <v>10</v>
      </c>
      <c r="I160" s="17" t="s">
        <v>31</v>
      </c>
      <c r="J160" s="17" t="s">
        <v>5</v>
      </c>
      <c r="K160" s="27"/>
      <c r="L160" s="27"/>
      <c r="M160" s="27"/>
    </row>
    <row r="161" spans="1:13" ht="14.25" customHeight="1" x14ac:dyDescent="0.25">
      <c r="A161" s="4" t="s">
        <v>28</v>
      </c>
      <c r="B161" s="13" t="s">
        <v>29</v>
      </c>
      <c r="C161" s="17" t="s">
        <v>2</v>
      </c>
      <c r="D161" s="5" t="d">
        <v>1960-04-12</v>
      </c>
      <c r="E161" s="17">
        <f>2025-1960</f>
        <v>65</v>
      </c>
      <c r="F161" s="6">
        <v>6730137</v>
      </c>
      <c r="G161" s="40" t="s">
        <v>962</v>
      </c>
      <c r="H161" s="4" t="s">
        <v>8</v>
      </c>
      <c r="I161" s="17" t="s">
        <v>31</v>
      </c>
      <c r="J161" s="17" t="s">
        <v>5</v>
      </c>
      <c r="K161" s="27"/>
      <c r="L161" s="27"/>
      <c r="M161" s="27"/>
    </row>
    <row r="162" spans="1:13" x14ac:dyDescent="0.25">
      <c r="A162" s="22" t="s">
        <v>65</v>
      </c>
      <c r="B162" s="22" t="s">
        <v>64</v>
      </c>
      <c r="C162" s="22" t="s">
        <v>2</v>
      </c>
      <c r="D162" s="2" t="d">
        <v>1952-10-09</v>
      </c>
      <c r="E162" s="22">
        <f>2024-1952</f>
        <v>72</v>
      </c>
      <c r="F162" s="7">
        <v>7648552</v>
      </c>
      <c r="G162" s="23" t="s">
        <v>3</v>
      </c>
      <c r="H162" s="23" t="s">
        <v>3</v>
      </c>
      <c r="I162" s="22" t="s">
        <v>66</v>
      </c>
      <c r="J162" s="23" t="s">
        <v>5</v>
      </c>
      <c r="K162" s="27"/>
      <c r="L162" s="27"/>
      <c r="M162" s="27"/>
    </row>
    <row r="163" spans="1:13" ht="18" customHeight="1" x14ac:dyDescent="0.25">
      <c r="A163" s="4" t="s">
        <v>96</v>
      </c>
      <c r="B163" s="17" t="s">
        <v>97</v>
      </c>
      <c r="C163" s="4" t="s">
        <v>2</v>
      </c>
      <c r="D163" s="5" t="d">
        <v>2008-04-10</v>
      </c>
      <c r="E163" s="17">
        <f>2024-2008</f>
        <v>16</v>
      </c>
      <c r="F163" s="6">
        <v>32453568</v>
      </c>
      <c r="G163" s="40" t="s">
        <v>962</v>
      </c>
      <c r="H163" s="4" t="s">
        <v>17</v>
      </c>
      <c r="I163" s="17" t="s">
        <v>4</v>
      </c>
      <c r="J163" s="17" t="s">
        <v>5</v>
      </c>
      <c r="K163" s="27"/>
      <c r="L163" s="27"/>
      <c r="M163" s="27"/>
    </row>
    <row r="164" spans="1:13" ht="18" customHeight="1" x14ac:dyDescent="0.25">
      <c r="A164" s="4" t="s">
        <v>98</v>
      </c>
      <c r="B164" s="17" t="s">
        <v>99</v>
      </c>
      <c r="C164" s="4" t="s">
        <v>7</v>
      </c>
      <c r="D164" s="5" t="d">
        <v>2003-11-12</v>
      </c>
      <c r="E164" s="17">
        <f>2024-2003</f>
        <v>21</v>
      </c>
      <c r="F164" s="6">
        <v>30451259</v>
      </c>
      <c r="G164" s="40" t="s">
        <v>962</v>
      </c>
      <c r="H164" s="4" t="s">
        <v>15</v>
      </c>
      <c r="I164" s="17" t="s">
        <v>4</v>
      </c>
      <c r="J164" s="17" t="s">
        <v>5</v>
      </c>
      <c r="K164" s="27"/>
      <c r="L164" s="27"/>
      <c r="M164" s="27"/>
    </row>
    <row r="165" spans="1:13" ht="16.5" customHeight="1" x14ac:dyDescent="0.25">
      <c r="A165" s="1" t="s">
        <v>185</v>
      </c>
      <c r="B165" s="22" t="s">
        <v>186</v>
      </c>
      <c r="C165" s="1" t="s">
        <v>2</v>
      </c>
      <c r="D165" s="2" t="d">
        <v>1954-03-28</v>
      </c>
      <c r="E165" s="22">
        <f>2024-1954</f>
        <v>70</v>
      </c>
      <c r="F165" s="3">
        <v>4484943</v>
      </c>
      <c r="G165" s="23" t="s">
        <v>3</v>
      </c>
      <c r="H165" s="23" t="s">
        <v>3</v>
      </c>
      <c r="I165" s="22" t="s">
        <v>66</v>
      </c>
      <c r="J165" s="23" t="s">
        <v>5</v>
      </c>
      <c r="K165" s="27"/>
      <c r="L165" s="27"/>
      <c r="M165" s="27"/>
    </row>
    <row r="166" spans="1:13" ht="16.5" customHeight="1" x14ac:dyDescent="0.25">
      <c r="A166" s="4" t="s">
        <v>187</v>
      </c>
      <c r="B166" s="4" t="s">
        <v>188</v>
      </c>
      <c r="C166" s="4" t="s">
        <v>7</v>
      </c>
      <c r="D166" s="5" t="d">
        <v>2015-03-06</v>
      </c>
      <c r="E166" s="17">
        <f>2024-2015</f>
        <v>9</v>
      </c>
      <c r="F166" s="8" t="s">
        <v>788</v>
      </c>
      <c r="G166" s="40" t="s">
        <v>962</v>
      </c>
      <c r="H166" s="4" t="s">
        <v>15</v>
      </c>
      <c r="I166" s="17" t="s">
        <v>4</v>
      </c>
      <c r="J166" s="17" t="s">
        <v>5</v>
      </c>
      <c r="K166" s="27"/>
      <c r="L166" s="27"/>
      <c r="M166" s="27"/>
    </row>
    <row r="167" spans="1:13" ht="14.25" customHeight="1" x14ac:dyDescent="0.25">
      <c r="A167" s="4" t="s">
        <v>189</v>
      </c>
      <c r="B167" s="4" t="s">
        <v>190</v>
      </c>
      <c r="C167" s="4" t="s">
        <v>2</v>
      </c>
      <c r="D167" s="5" t="d">
        <v>2020-08-20</v>
      </c>
      <c r="E167" s="17">
        <f>2024-2020</f>
        <v>4</v>
      </c>
      <c r="F167" s="8" t="s">
        <v>789</v>
      </c>
      <c r="G167" s="40" t="s">
        <v>962</v>
      </c>
      <c r="H167" s="4" t="s">
        <v>17</v>
      </c>
      <c r="I167" s="17" t="s">
        <v>4</v>
      </c>
      <c r="J167" s="17" t="s">
        <v>5</v>
      </c>
      <c r="K167" s="27"/>
      <c r="L167" s="27"/>
      <c r="M167" s="27"/>
    </row>
    <row r="168" spans="1:13" x14ac:dyDescent="0.25">
      <c r="A168" s="22" t="s">
        <v>720</v>
      </c>
      <c r="B168" s="22" t="s">
        <v>721</v>
      </c>
      <c r="C168" s="22" t="s">
        <v>2</v>
      </c>
      <c r="D168" s="28" t="d">
        <v>1961-01-16</v>
      </c>
      <c r="E168" s="22">
        <f>2025-1961</f>
        <v>64</v>
      </c>
      <c r="F168" s="7">
        <v>9026523</v>
      </c>
      <c r="G168" s="23" t="s">
        <v>3</v>
      </c>
      <c r="H168" s="23" t="s">
        <v>3</v>
      </c>
      <c r="I168" s="22" t="s">
        <v>4</v>
      </c>
      <c r="J168" s="22" t="s">
        <v>5</v>
      </c>
      <c r="K168" s="27"/>
      <c r="L168" s="27"/>
      <c r="M168" s="27"/>
    </row>
    <row r="169" spans="1:13" ht="14.25" customHeight="1" x14ac:dyDescent="0.25">
      <c r="A169" s="1" t="s">
        <v>203</v>
      </c>
      <c r="B169" s="22" t="s">
        <v>204</v>
      </c>
      <c r="C169" s="22" t="s">
        <v>2</v>
      </c>
      <c r="D169" s="2" t="d">
        <v>1963-03-21</v>
      </c>
      <c r="E169" s="1">
        <f>2024-1963</f>
        <v>61</v>
      </c>
      <c r="F169" s="3">
        <v>8032992</v>
      </c>
      <c r="G169" s="23" t="s">
        <v>3</v>
      </c>
      <c r="H169" s="23" t="s">
        <v>3</v>
      </c>
      <c r="I169" s="22" t="s">
        <v>31</v>
      </c>
      <c r="J169" s="23" t="s">
        <v>5</v>
      </c>
      <c r="K169" s="27"/>
      <c r="L169" s="27"/>
      <c r="M169" s="27"/>
    </row>
    <row r="170" spans="1:13" ht="15.75" customHeight="1" x14ac:dyDescent="0.25">
      <c r="A170" s="4" t="s">
        <v>205</v>
      </c>
      <c r="B170" s="17" t="s">
        <v>206</v>
      </c>
      <c r="C170" s="4" t="s">
        <v>7</v>
      </c>
      <c r="D170" s="5" t="d">
        <v>1957-09-05</v>
      </c>
      <c r="E170" s="4">
        <f>2024-1957</f>
        <v>67</v>
      </c>
      <c r="F170" s="6">
        <v>5197110</v>
      </c>
      <c r="G170" s="40" t="s">
        <v>962</v>
      </c>
      <c r="H170" s="39" t="s">
        <v>960</v>
      </c>
      <c r="I170" s="17" t="s">
        <v>4</v>
      </c>
      <c r="J170" s="17" t="s">
        <v>5</v>
      </c>
      <c r="K170" s="27"/>
      <c r="L170" s="27"/>
      <c r="M170" s="27"/>
    </row>
    <row r="171" spans="1:13" ht="15" customHeight="1" x14ac:dyDescent="0.25">
      <c r="A171" s="4" t="s">
        <v>207</v>
      </c>
      <c r="B171" s="17" t="s">
        <v>208</v>
      </c>
      <c r="C171" s="4" t="s">
        <v>2</v>
      </c>
      <c r="D171" s="5" t="d">
        <v>2012-04-24</v>
      </c>
      <c r="E171" s="4">
        <f>2024-2012</f>
        <v>12</v>
      </c>
      <c r="F171" s="6">
        <v>34323864</v>
      </c>
      <c r="G171" s="40" t="s">
        <v>962</v>
      </c>
      <c r="H171" s="4" t="s">
        <v>17</v>
      </c>
      <c r="I171" s="17" t="s">
        <v>4</v>
      </c>
      <c r="J171" s="17" t="s">
        <v>5</v>
      </c>
      <c r="K171" s="27"/>
      <c r="L171" s="27"/>
      <c r="M171" s="27"/>
    </row>
    <row r="172" spans="1:13" ht="18" customHeight="1" x14ac:dyDescent="0.25">
      <c r="A172" s="4" t="s">
        <v>209</v>
      </c>
      <c r="B172" s="17" t="s">
        <v>210</v>
      </c>
      <c r="C172" s="4" t="s">
        <v>2</v>
      </c>
      <c r="D172" s="5" t="d">
        <v>2013-04-14</v>
      </c>
      <c r="E172" s="4">
        <f>2024-2013</f>
        <v>11</v>
      </c>
      <c r="F172" s="6">
        <v>34587537</v>
      </c>
      <c r="G172" s="40" t="s">
        <v>962</v>
      </c>
      <c r="H172" s="4" t="s">
        <v>17</v>
      </c>
      <c r="I172" s="17" t="s">
        <v>4</v>
      </c>
      <c r="J172" s="17" t="s">
        <v>5</v>
      </c>
      <c r="K172" s="27"/>
      <c r="L172" s="27"/>
      <c r="M172" s="27"/>
    </row>
    <row r="173" spans="1:13" ht="19.5" customHeight="1" x14ac:dyDescent="0.25">
      <c r="A173" s="4" t="s">
        <v>211</v>
      </c>
      <c r="B173" s="17" t="s">
        <v>212</v>
      </c>
      <c r="C173" s="4" t="s">
        <v>7</v>
      </c>
      <c r="D173" s="5" t="d">
        <v>2001-05-08</v>
      </c>
      <c r="E173" s="4">
        <f>2024-2001</f>
        <v>23</v>
      </c>
      <c r="F173" s="6">
        <v>27779510</v>
      </c>
      <c r="G173" s="40" t="s">
        <v>962</v>
      </c>
      <c r="H173" s="4" t="s">
        <v>15</v>
      </c>
      <c r="I173" s="17" t="s">
        <v>4</v>
      </c>
      <c r="J173" s="17" t="s">
        <v>5</v>
      </c>
      <c r="K173" s="27"/>
      <c r="L173" s="27"/>
      <c r="M173" s="27"/>
    </row>
    <row r="174" spans="1:13" ht="16.5" customHeight="1" x14ac:dyDescent="0.25">
      <c r="A174" s="4" t="s">
        <v>211</v>
      </c>
      <c r="B174" s="17" t="s">
        <v>213</v>
      </c>
      <c r="C174" s="4" t="s">
        <v>7</v>
      </c>
      <c r="D174" s="5" t="d">
        <v>2003-05-20</v>
      </c>
      <c r="E174" s="4">
        <f>2024-2003</f>
        <v>21</v>
      </c>
      <c r="F174" s="6">
        <v>29886624</v>
      </c>
      <c r="G174" s="40" t="s">
        <v>962</v>
      </c>
      <c r="H174" s="4" t="s">
        <v>15</v>
      </c>
      <c r="I174" s="17" t="s">
        <v>4</v>
      </c>
      <c r="J174" s="17" t="s">
        <v>5</v>
      </c>
      <c r="K174" s="27"/>
      <c r="L174" s="27"/>
      <c r="M174" s="27"/>
    </row>
    <row r="175" spans="1:13" ht="14.25" customHeight="1" x14ac:dyDescent="0.25">
      <c r="A175" s="1" t="s">
        <v>582</v>
      </c>
      <c r="B175" s="22" t="s">
        <v>19</v>
      </c>
      <c r="C175" s="1" t="s">
        <v>2</v>
      </c>
      <c r="D175" s="2" t="d">
        <v>1971-05-31</v>
      </c>
      <c r="E175" s="22">
        <f>2024-1971</f>
        <v>53</v>
      </c>
      <c r="F175" s="3">
        <v>10244081</v>
      </c>
      <c r="G175" s="23" t="s">
        <v>3</v>
      </c>
      <c r="H175" s="23" t="s">
        <v>3</v>
      </c>
      <c r="I175" s="22" t="s">
        <v>4</v>
      </c>
      <c r="J175" s="23" t="s">
        <v>5</v>
      </c>
      <c r="K175" s="27"/>
      <c r="L175" s="27"/>
      <c r="M175" s="27"/>
    </row>
    <row r="176" spans="1:13" ht="17.25" customHeight="1" x14ac:dyDescent="0.25">
      <c r="A176" s="4" t="s">
        <v>583</v>
      </c>
      <c r="B176" s="17" t="s">
        <v>584</v>
      </c>
      <c r="C176" s="4" t="s">
        <v>7</v>
      </c>
      <c r="D176" s="5" t="d">
        <v>2001-10-04</v>
      </c>
      <c r="E176" s="17">
        <f>2024-2001</f>
        <v>23</v>
      </c>
      <c r="F176" s="6">
        <v>30677335</v>
      </c>
      <c r="G176" s="40" t="s">
        <v>962</v>
      </c>
      <c r="H176" s="4" t="s">
        <v>9</v>
      </c>
      <c r="I176" s="17" t="s">
        <v>4</v>
      </c>
      <c r="J176" s="17" t="s">
        <v>5</v>
      </c>
      <c r="K176" s="27"/>
      <c r="L176" s="27"/>
      <c r="M176" s="27"/>
    </row>
    <row r="177" spans="1:13" ht="18" customHeight="1" x14ac:dyDescent="0.25">
      <c r="A177" s="1" t="s">
        <v>474</v>
      </c>
      <c r="B177" s="22" t="s">
        <v>475</v>
      </c>
      <c r="C177" s="1" t="s">
        <v>2</v>
      </c>
      <c r="D177" s="2" t="d">
        <v>1985-08-21</v>
      </c>
      <c r="E177" s="22">
        <f>2024-1985</f>
        <v>39</v>
      </c>
      <c r="F177" s="3">
        <v>16933941</v>
      </c>
      <c r="G177" s="23" t="s">
        <v>3</v>
      </c>
      <c r="H177" s="23" t="s">
        <v>3</v>
      </c>
      <c r="I177" s="22" t="s">
        <v>4</v>
      </c>
      <c r="J177" s="23" t="s">
        <v>5</v>
      </c>
      <c r="K177" s="27"/>
      <c r="L177" s="27"/>
      <c r="M177" s="27"/>
    </row>
    <row r="178" spans="1:13" ht="18.75" customHeight="1" x14ac:dyDescent="0.25">
      <c r="A178" s="4" t="s">
        <v>476</v>
      </c>
      <c r="B178" s="17" t="s">
        <v>477</v>
      </c>
      <c r="C178" s="4" t="s">
        <v>7</v>
      </c>
      <c r="D178" s="5" t="d">
        <v>1957-08-04</v>
      </c>
      <c r="E178" s="17">
        <f>2024-1957</f>
        <v>67</v>
      </c>
      <c r="F178" s="6">
        <v>8025378</v>
      </c>
      <c r="G178" s="40" t="s">
        <v>962</v>
      </c>
      <c r="H178" s="4" t="s">
        <v>10</v>
      </c>
      <c r="I178" s="17" t="s">
        <v>4</v>
      </c>
      <c r="J178" s="17" t="s">
        <v>5</v>
      </c>
      <c r="K178" s="27"/>
      <c r="L178" s="27"/>
      <c r="M178" s="27"/>
    </row>
    <row r="179" spans="1:13" ht="15.75" customHeight="1" x14ac:dyDescent="0.25">
      <c r="A179" s="4" t="s">
        <v>478</v>
      </c>
      <c r="B179" s="17" t="s">
        <v>479</v>
      </c>
      <c r="C179" s="4" t="s">
        <v>2</v>
      </c>
      <c r="D179" s="5" t="d">
        <v>1955-07-17</v>
      </c>
      <c r="E179" s="17">
        <f>2024-1955</f>
        <v>69</v>
      </c>
      <c r="F179" s="6">
        <v>9050615</v>
      </c>
      <c r="G179" s="40" t="s">
        <v>962</v>
      </c>
      <c r="H179" s="4" t="s">
        <v>8</v>
      </c>
      <c r="I179" s="17" t="s">
        <v>4</v>
      </c>
      <c r="J179" s="17" t="s">
        <v>5</v>
      </c>
      <c r="K179" s="27"/>
      <c r="L179" s="27"/>
      <c r="M179" s="27"/>
    </row>
    <row r="180" spans="1:13" ht="18.75" customHeight="1" x14ac:dyDescent="0.25">
      <c r="A180" s="4" t="s">
        <v>480</v>
      </c>
      <c r="B180" s="17" t="s">
        <v>481</v>
      </c>
      <c r="C180" s="4" t="s">
        <v>2</v>
      </c>
      <c r="D180" s="5" t="d">
        <v>2009-04-04</v>
      </c>
      <c r="E180" s="17">
        <f>2024-2009</f>
        <v>15</v>
      </c>
      <c r="F180" s="6">
        <v>33197219</v>
      </c>
      <c r="G180" s="40" t="s">
        <v>962</v>
      </c>
      <c r="H180" s="4" t="s">
        <v>6</v>
      </c>
      <c r="I180" s="17" t="s">
        <v>4</v>
      </c>
      <c r="J180" s="17" t="s">
        <v>5</v>
      </c>
      <c r="K180" s="27"/>
      <c r="L180" s="27"/>
      <c r="M180" s="27"/>
    </row>
    <row r="181" spans="1:13" ht="18.75" customHeight="1" x14ac:dyDescent="0.25">
      <c r="A181" s="4" t="s">
        <v>482</v>
      </c>
      <c r="B181" s="17" t="s">
        <v>483</v>
      </c>
      <c r="C181" s="4" t="s">
        <v>7</v>
      </c>
      <c r="D181" s="5" t="d">
        <v>1988-12-28</v>
      </c>
      <c r="E181" s="17">
        <f>2024-1988</f>
        <v>36</v>
      </c>
      <c r="F181" s="6">
        <v>19644702</v>
      </c>
      <c r="G181" s="40" t="s">
        <v>962</v>
      </c>
      <c r="H181" s="39" t="s">
        <v>960</v>
      </c>
      <c r="I181" s="17" t="s">
        <v>4</v>
      </c>
      <c r="J181" s="17" t="s">
        <v>5</v>
      </c>
      <c r="K181" s="27"/>
      <c r="L181" s="27"/>
      <c r="M181" s="27"/>
    </row>
    <row r="182" spans="1:13" ht="15" customHeight="1" x14ac:dyDescent="0.25">
      <c r="A182" s="1" t="s">
        <v>626</v>
      </c>
      <c r="B182" s="22" t="s">
        <v>627</v>
      </c>
      <c r="C182" s="2" t="s">
        <v>2</v>
      </c>
      <c r="D182" s="2" t="d">
        <v>1958-05-12</v>
      </c>
      <c r="E182" s="1">
        <f>2024-1958</f>
        <v>66</v>
      </c>
      <c r="F182" s="3">
        <v>8073802</v>
      </c>
      <c r="G182" s="23" t="s">
        <v>3</v>
      </c>
      <c r="H182" s="23" t="s">
        <v>3</v>
      </c>
      <c r="I182" s="22" t="s">
        <v>4</v>
      </c>
      <c r="J182" s="23" t="s">
        <v>5</v>
      </c>
      <c r="K182" s="27"/>
      <c r="L182" s="27"/>
      <c r="M182" s="27"/>
    </row>
    <row r="183" spans="1:13" x14ac:dyDescent="0.25">
      <c r="A183" s="4" t="s">
        <v>628</v>
      </c>
      <c r="B183" s="11" t="s">
        <v>629</v>
      </c>
      <c r="C183" s="4" t="s">
        <v>2</v>
      </c>
      <c r="D183" s="5" t="d">
        <v>2010-12-08</v>
      </c>
      <c r="E183" s="4">
        <f>2024-2010</f>
        <v>14</v>
      </c>
      <c r="F183" s="6">
        <v>33722319</v>
      </c>
      <c r="G183" s="40" t="s">
        <v>962</v>
      </c>
      <c r="H183" s="4" t="s">
        <v>17</v>
      </c>
      <c r="I183" s="17" t="s">
        <v>4</v>
      </c>
      <c r="J183" s="17" t="s">
        <v>5</v>
      </c>
      <c r="K183" s="27"/>
      <c r="L183" s="27"/>
      <c r="M183" s="27"/>
    </row>
    <row r="184" spans="1:13" ht="15" customHeight="1" x14ac:dyDescent="0.25">
      <c r="A184" s="4" t="s">
        <v>630</v>
      </c>
      <c r="B184" s="4" t="s">
        <v>631</v>
      </c>
      <c r="C184" s="4" t="s">
        <v>7</v>
      </c>
      <c r="D184" s="5" t="d">
        <v>2017-02-24</v>
      </c>
      <c r="E184" s="4">
        <f>2025-2017</f>
        <v>8</v>
      </c>
      <c r="F184" s="6" t="s">
        <v>840</v>
      </c>
      <c r="G184" s="40" t="s">
        <v>962</v>
      </c>
      <c r="H184" s="4" t="s">
        <v>15</v>
      </c>
      <c r="I184" s="17" t="s">
        <v>4</v>
      </c>
      <c r="J184" s="17" t="s">
        <v>5</v>
      </c>
      <c r="K184" s="27"/>
      <c r="L184" s="27"/>
      <c r="M184" s="27"/>
    </row>
    <row r="185" spans="1:13" ht="17.25" customHeight="1" x14ac:dyDescent="0.25">
      <c r="A185" s="4" t="s">
        <v>647</v>
      </c>
      <c r="B185" s="11" t="s">
        <v>648</v>
      </c>
      <c r="C185" s="4" t="s">
        <v>7</v>
      </c>
      <c r="D185" s="5" t="d">
        <v>2009-09-25</v>
      </c>
      <c r="E185" s="4">
        <f>2024-2009</f>
        <v>15</v>
      </c>
      <c r="F185" s="6">
        <v>32935090</v>
      </c>
      <c r="G185" s="40" t="s">
        <v>962</v>
      </c>
      <c r="H185" s="4" t="s">
        <v>15</v>
      </c>
      <c r="I185" s="17" t="s">
        <v>4</v>
      </c>
      <c r="J185" s="17" t="s">
        <v>5</v>
      </c>
      <c r="K185" s="27"/>
      <c r="L185" s="27"/>
      <c r="M185" s="27"/>
    </row>
    <row r="186" spans="1:13" ht="15.75" customHeight="1" x14ac:dyDescent="0.25">
      <c r="A186" s="4" t="s">
        <v>632</v>
      </c>
      <c r="B186" s="4" t="s">
        <v>633</v>
      </c>
      <c r="C186" s="4" t="s">
        <v>2</v>
      </c>
      <c r="D186" s="5" t="d">
        <v>2020-06-21</v>
      </c>
      <c r="E186" s="4">
        <f>2024-2020</f>
        <v>4</v>
      </c>
      <c r="F186" s="6" t="s">
        <v>841</v>
      </c>
      <c r="G186" s="40" t="s">
        <v>962</v>
      </c>
      <c r="H186" s="4" t="s">
        <v>17</v>
      </c>
      <c r="I186" s="17" t="s">
        <v>4</v>
      </c>
      <c r="J186" s="17" t="s">
        <v>5</v>
      </c>
      <c r="K186" s="27"/>
      <c r="L186" s="27"/>
      <c r="M186" s="27"/>
    </row>
    <row r="187" spans="1:13" ht="17.25" customHeight="1" x14ac:dyDescent="0.25">
      <c r="A187" s="1" t="s">
        <v>513</v>
      </c>
      <c r="B187" s="22" t="s">
        <v>514</v>
      </c>
      <c r="C187" s="1" t="s">
        <v>7</v>
      </c>
      <c r="D187" s="2" t="d">
        <v>1969-10-16</v>
      </c>
      <c r="E187" s="22">
        <f>2024-1969</f>
        <v>55</v>
      </c>
      <c r="F187" s="3">
        <v>10713821</v>
      </c>
      <c r="G187" s="23" t="s">
        <v>3</v>
      </c>
      <c r="H187" s="23" t="s">
        <v>3</v>
      </c>
      <c r="I187" s="22" t="s">
        <v>4</v>
      </c>
      <c r="J187" s="23" t="s">
        <v>5</v>
      </c>
      <c r="K187" s="27"/>
      <c r="L187" s="27"/>
      <c r="M187" s="27"/>
    </row>
    <row r="188" spans="1:13" ht="15" customHeight="1" x14ac:dyDescent="0.25">
      <c r="A188" s="4" t="s">
        <v>515</v>
      </c>
      <c r="B188" s="17" t="s">
        <v>516</v>
      </c>
      <c r="C188" s="4" t="s">
        <v>2</v>
      </c>
      <c r="D188" s="5" t="d">
        <v>1993-07-23</v>
      </c>
      <c r="E188" s="17">
        <f>2024-1993</f>
        <v>31</v>
      </c>
      <c r="F188" s="6">
        <v>20435675</v>
      </c>
      <c r="G188" s="40" t="s">
        <v>962</v>
      </c>
      <c r="H188" s="39" t="s">
        <v>961</v>
      </c>
      <c r="I188" s="17" t="s">
        <v>4</v>
      </c>
      <c r="J188" s="17" t="s">
        <v>5</v>
      </c>
      <c r="K188" s="27"/>
      <c r="L188" s="27"/>
      <c r="M188" s="27"/>
    </row>
    <row r="189" spans="1:13" ht="16.5" customHeight="1" x14ac:dyDescent="0.25">
      <c r="A189" s="4" t="s">
        <v>517</v>
      </c>
      <c r="B189" s="17" t="s">
        <v>518</v>
      </c>
      <c r="C189" s="4" t="s">
        <v>7</v>
      </c>
      <c r="D189" s="5" t="d">
        <v>2006-04-18</v>
      </c>
      <c r="E189" s="17">
        <f>2024-2006</f>
        <v>18</v>
      </c>
      <c r="F189" s="6">
        <v>31611416</v>
      </c>
      <c r="G189" s="40" t="s">
        <v>962</v>
      </c>
      <c r="H189" s="4" t="s">
        <v>9</v>
      </c>
      <c r="I189" s="17" t="s">
        <v>4</v>
      </c>
      <c r="J189" s="17" t="s">
        <v>5</v>
      </c>
      <c r="K189" s="27"/>
      <c r="L189" s="27"/>
      <c r="M189" s="27"/>
    </row>
    <row r="190" spans="1:13" ht="16.5" customHeight="1" x14ac:dyDescent="0.25">
      <c r="A190" s="4" t="s">
        <v>519</v>
      </c>
      <c r="B190" s="17" t="s">
        <v>520</v>
      </c>
      <c r="C190" s="4" t="s">
        <v>7</v>
      </c>
      <c r="D190" s="5" t="d">
        <v>2012-02-23</v>
      </c>
      <c r="E190" s="17">
        <f>2025-2012</f>
        <v>13</v>
      </c>
      <c r="F190" s="6">
        <v>34181810</v>
      </c>
      <c r="G190" s="40" t="s">
        <v>962</v>
      </c>
      <c r="H190" s="4" t="s">
        <v>9</v>
      </c>
      <c r="I190" s="17" t="s">
        <v>4</v>
      </c>
      <c r="J190" s="17" t="s">
        <v>5</v>
      </c>
      <c r="K190" s="27"/>
      <c r="L190" s="27"/>
      <c r="M190" s="27"/>
    </row>
    <row r="191" spans="1:13" ht="15" customHeight="1" x14ac:dyDescent="0.25">
      <c r="A191" s="4" t="s">
        <v>519</v>
      </c>
      <c r="B191" s="17" t="s">
        <v>521</v>
      </c>
      <c r="C191" s="4" t="s">
        <v>2</v>
      </c>
      <c r="D191" s="5" t="d">
        <v>2017-03-21</v>
      </c>
      <c r="E191" s="17">
        <f>2024-2017</f>
        <v>7</v>
      </c>
      <c r="F191" s="6" t="s">
        <v>823</v>
      </c>
      <c r="G191" s="40" t="s">
        <v>962</v>
      </c>
      <c r="H191" s="4" t="s">
        <v>6</v>
      </c>
      <c r="I191" s="17" t="s">
        <v>4</v>
      </c>
      <c r="J191" s="17" t="s">
        <v>5</v>
      </c>
      <c r="K191" s="27"/>
      <c r="L191" s="27"/>
      <c r="M191" s="27"/>
    </row>
    <row r="192" spans="1:13" x14ac:dyDescent="0.25">
      <c r="A192" s="1" t="s">
        <v>450</v>
      </c>
      <c r="B192" s="22" t="s">
        <v>451</v>
      </c>
      <c r="C192" s="1" t="s">
        <v>2</v>
      </c>
      <c r="D192" s="2" t="d">
        <v>1964-12-20</v>
      </c>
      <c r="E192" s="22">
        <f>2024-1964</f>
        <v>60</v>
      </c>
      <c r="F192" s="3">
        <v>9199189</v>
      </c>
      <c r="G192" s="23" t="s">
        <v>3</v>
      </c>
      <c r="H192" s="23" t="s">
        <v>3</v>
      </c>
      <c r="I192" s="22" t="s">
        <v>30</v>
      </c>
      <c r="J192" s="23" t="s">
        <v>5</v>
      </c>
      <c r="K192" s="27"/>
      <c r="L192" s="27"/>
      <c r="M192" s="27"/>
    </row>
    <row r="193" spans="1:13" ht="15.75" customHeight="1" x14ac:dyDescent="0.25">
      <c r="A193" s="4" t="s">
        <v>767</v>
      </c>
      <c r="B193" s="17" t="s">
        <v>768</v>
      </c>
      <c r="C193" s="4" t="s">
        <v>2</v>
      </c>
      <c r="D193" s="5" t="d">
        <v>2015-02-27</v>
      </c>
      <c r="E193" s="17">
        <f>2025-2015</f>
        <v>10</v>
      </c>
      <c r="F193" s="6" t="s">
        <v>816</v>
      </c>
      <c r="G193" s="40" t="s">
        <v>962</v>
      </c>
      <c r="H193" s="4" t="s">
        <v>17</v>
      </c>
      <c r="I193" s="17" t="s">
        <v>4</v>
      </c>
      <c r="J193" s="17" t="s">
        <v>5</v>
      </c>
      <c r="K193" s="27"/>
      <c r="L193" s="27"/>
      <c r="M193" s="27"/>
    </row>
    <row r="194" spans="1:13" ht="16.5" customHeight="1" x14ac:dyDescent="0.25">
      <c r="A194" s="4" t="s">
        <v>770</v>
      </c>
      <c r="B194" s="17" t="s">
        <v>769</v>
      </c>
      <c r="C194" s="4" t="s">
        <v>2</v>
      </c>
      <c r="D194" s="5" t="d">
        <v>2021-06-24</v>
      </c>
      <c r="E194" s="17">
        <f>2024-2021</f>
        <v>3</v>
      </c>
      <c r="F194" s="6" t="s">
        <v>817</v>
      </c>
      <c r="G194" s="40" t="s">
        <v>962</v>
      </c>
      <c r="H194" s="4" t="s">
        <v>17</v>
      </c>
      <c r="I194" s="17" t="s">
        <v>4</v>
      </c>
      <c r="J194" s="17" t="s">
        <v>5</v>
      </c>
      <c r="K194" s="27"/>
      <c r="L194" s="27"/>
      <c r="M194" s="27"/>
    </row>
    <row r="195" spans="1:13" ht="18.75" customHeight="1" x14ac:dyDescent="0.25">
      <c r="A195" s="4" t="s">
        <v>452</v>
      </c>
      <c r="B195" s="17" t="s">
        <v>453</v>
      </c>
      <c r="C195" s="4" t="s">
        <v>7</v>
      </c>
      <c r="D195" s="5" t="d">
        <v>2008-12-06</v>
      </c>
      <c r="E195" s="17">
        <f>2024-2008</f>
        <v>16</v>
      </c>
      <c r="F195" s="6">
        <v>33212841</v>
      </c>
      <c r="G195" s="40" t="s">
        <v>962</v>
      </c>
      <c r="H195" s="4" t="s">
        <v>15</v>
      </c>
      <c r="I195" s="17" t="s">
        <v>4</v>
      </c>
      <c r="J195" s="17" t="s">
        <v>5</v>
      </c>
      <c r="K195" s="27"/>
      <c r="L195" s="27"/>
      <c r="M195" s="27"/>
    </row>
    <row r="196" spans="1:13" ht="18.75" customHeight="1" x14ac:dyDescent="0.25">
      <c r="A196" s="4" t="s">
        <v>624</v>
      </c>
      <c r="B196" s="17" t="s">
        <v>625</v>
      </c>
      <c r="C196" s="4" t="s">
        <v>7</v>
      </c>
      <c r="D196" s="5" t="d">
        <v>1970-11-24</v>
      </c>
      <c r="E196" s="17">
        <f>2024-1970</f>
        <v>54</v>
      </c>
      <c r="F196" s="6">
        <v>10719903</v>
      </c>
      <c r="G196" s="40" t="s">
        <v>962</v>
      </c>
      <c r="H196" s="39" t="s">
        <v>960</v>
      </c>
      <c r="I196" s="17" t="s">
        <v>4</v>
      </c>
      <c r="J196" s="17" t="s">
        <v>5</v>
      </c>
      <c r="K196" s="27"/>
      <c r="L196" s="27"/>
      <c r="M196" s="27"/>
    </row>
    <row r="197" spans="1:13" ht="13.5" customHeight="1" x14ac:dyDescent="0.25">
      <c r="A197" s="4" t="s">
        <v>454</v>
      </c>
      <c r="B197" s="17" t="s">
        <v>455</v>
      </c>
      <c r="C197" s="4" t="s">
        <v>2</v>
      </c>
      <c r="D197" s="5" t="d">
        <v>2014-01-23</v>
      </c>
      <c r="E197" s="17">
        <v>11</v>
      </c>
      <c r="F197" s="6">
        <v>36472863</v>
      </c>
      <c r="G197" s="40" t="s">
        <v>962</v>
      </c>
      <c r="H197" s="4" t="s">
        <v>17</v>
      </c>
      <c r="I197" s="17" t="s">
        <v>4</v>
      </c>
      <c r="J197" s="17" t="s">
        <v>5</v>
      </c>
      <c r="K197" s="27"/>
      <c r="L197" s="27"/>
      <c r="M197" s="27"/>
    </row>
    <row r="198" spans="1:13" x14ac:dyDescent="0.25">
      <c r="A198" s="22" t="s">
        <v>39</v>
      </c>
      <c r="B198" s="12" t="s">
        <v>40</v>
      </c>
      <c r="C198" s="22" t="s">
        <v>7</v>
      </c>
      <c r="D198" s="2" t="d">
        <v>1965-08-28</v>
      </c>
      <c r="E198" s="22">
        <f>2024-1965</f>
        <v>59</v>
      </c>
      <c r="F198" s="15">
        <v>8043053</v>
      </c>
      <c r="G198" s="23" t="s">
        <v>3</v>
      </c>
      <c r="H198" s="23" t="s">
        <v>3</v>
      </c>
      <c r="I198" s="23" t="s">
        <v>4</v>
      </c>
      <c r="J198" s="23" t="s">
        <v>5</v>
      </c>
      <c r="K198" s="27"/>
      <c r="L198" s="27"/>
      <c r="M198" s="27"/>
    </row>
    <row r="199" spans="1:13" ht="15" customHeight="1" x14ac:dyDescent="0.25">
      <c r="A199" s="4" t="s">
        <v>41</v>
      </c>
      <c r="B199" s="4" t="s">
        <v>16</v>
      </c>
      <c r="C199" s="17" t="s">
        <v>2</v>
      </c>
      <c r="D199" s="5" t="d">
        <v>1975-02-12</v>
      </c>
      <c r="E199" s="17">
        <f>2025-1975</f>
        <v>50</v>
      </c>
      <c r="F199" s="16">
        <v>11952704</v>
      </c>
      <c r="G199" s="40" t="s">
        <v>962</v>
      </c>
      <c r="H199" s="39" t="s">
        <v>961</v>
      </c>
      <c r="I199" s="17" t="s">
        <v>4</v>
      </c>
      <c r="J199" s="17" t="s">
        <v>5</v>
      </c>
      <c r="K199" s="27"/>
      <c r="L199" s="27"/>
      <c r="M199" s="27"/>
    </row>
    <row r="200" spans="1:13" ht="16.5" customHeight="1" x14ac:dyDescent="0.25">
      <c r="A200" s="4" t="s">
        <v>42</v>
      </c>
      <c r="B200" s="13" t="s">
        <v>43</v>
      </c>
      <c r="C200" s="17" t="s">
        <v>2</v>
      </c>
      <c r="D200" s="5" t="d">
        <v>2007-11-25</v>
      </c>
      <c r="E200" s="17">
        <f>2024-2007</f>
        <v>17</v>
      </c>
      <c r="F200" s="16">
        <v>32262918</v>
      </c>
      <c r="G200" s="40" t="s">
        <v>962</v>
      </c>
      <c r="H200" s="4" t="s">
        <v>6</v>
      </c>
      <c r="I200" s="17" t="s">
        <v>4</v>
      </c>
      <c r="J200" s="17" t="s">
        <v>5</v>
      </c>
      <c r="K200" s="27"/>
      <c r="L200" s="27"/>
      <c r="M200" s="27"/>
    </row>
    <row r="201" spans="1:13" ht="13.5" customHeight="1" x14ac:dyDescent="0.25">
      <c r="A201" s="4" t="s">
        <v>45</v>
      </c>
      <c r="B201" s="13" t="s">
        <v>44</v>
      </c>
      <c r="C201" s="17" t="s">
        <v>2</v>
      </c>
      <c r="D201" s="5" t="d">
        <v>2020-01-15</v>
      </c>
      <c r="E201" s="17">
        <f>2025-2020</f>
        <v>5</v>
      </c>
      <c r="F201" s="16" t="s">
        <v>773</v>
      </c>
      <c r="G201" s="40" t="s">
        <v>962</v>
      </c>
      <c r="H201" s="4" t="s">
        <v>17</v>
      </c>
      <c r="I201" s="17" t="s">
        <v>4</v>
      </c>
      <c r="J201" s="17" t="s">
        <v>5</v>
      </c>
      <c r="K201" s="27"/>
      <c r="L201" s="27"/>
      <c r="M201" s="27"/>
    </row>
    <row r="202" spans="1:13" ht="12.75" customHeight="1" x14ac:dyDescent="0.25">
      <c r="A202" s="1" t="s">
        <v>372</v>
      </c>
      <c r="B202" s="22" t="s">
        <v>373</v>
      </c>
      <c r="C202" s="2" t="s">
        <v>7</v>
      </c>
      <c r="D202" s="2" t="d">
        <v>1945-06-29</v>
      </c>
      <c r="E202" s="1">
        <f>2024-1945</f>
        <v>79</v>
      </c>
      <c r="F202" s="3">
        <v>3039568</v>
      </c>
      <c r="G202" s="23" t="s">
        <v>3</v>
      </c>
      <c r="H202" s="23" t="s">
        <v>3</v>
      </c>
      <c r="I202" s="22" t="s">
        <v>31</v>
      </c>
      <c r="J202" s="23" t="s">
        <v>5</v>
      </c>
      <c r="K202" s="27"/>
      <c r="L202" s="27"/>
      <c r="M202" s="27"/>
    </row>
    <row r="203" spans="1:13" ht="12.75" customHeight="1" x14ac:dyDescent="0.25">
      <c r="A203" s="4" t="s">
        <v>374</v>
      </c>
      <c r="B203" s="17" t="s">
        <v>375</v>
      </c>
      <c r="C203" s="4" t="s">
        <v>2</v>
      </c>
      <c r="D203" s="5" t="d">
        <v>1952-05-18</v>
      </c>
      <c r="E203" s="17">
        <f>2024-1952</f>
        <v>72</v>
      </c>
      <c r="F203" s="6">
        <v>3992091</v>
      </c>
      <c r="G203" s="40" t="s">
        <v>962</v>
      </c>
      <c r="H203" s="39" t="s">
        <v>961</v>
      </c>
      <c r="I203" s="17" t="s">
        <v>31</v>
      </c>
      <c r="J203" s="17" t="s">
        <v>5</v>
      </c>
      <c r="K203" s="27"/>
      <c r="L203" s="27"/>
      <c r="M203" s="27"/>
    </row>
    <row r="204" spans="1:13" ht="15.75" customHeight="1" x14ac:dyDescent="0.25">
      <c r="A204" s="1" t="s">
        <v>546</v>
      </c>
      <c r="B204" s="22" t="s">
        <v>547</v>
      </c>
      <c r="C204" s="1" t="s">
        <v>7</v>
      </c>
      <c r="D204" s="2" t="d">
        <v>1995-10-24</v>
      </c>
      <c r="E204" s="22">
        <f>2024-1995</f>
        <v>29</v>
      </c>
      <c r="F204" s="3">
        <v>24374366</v>
      </c>
      <c r="G204" s="23" t="s">
        <v>3</v>
      </c>
      <c r="H204" s="23" t="s">
        <v>3</v>
      </c>
      <c r="I204" s="22" t="s">
        <v>4</v>
      </c>
      <c r="J204" s="23" t="s">
        <v>5</v>
      </c>
      <c r="K204" s="27"/>
      <c r="L204" s="27"/>
      <c r="M204" s="27"/>
    </row>
    <row r="205" spans="1:13" ht="17.25" customHeight="1" x14ac:dyDescent="0.25">
      <c r="A205" s="4" t="s">
        <v>548</v>
      </c>
      <c r="B205" s="17" t="s">
        <v>549</v>
      </c>
      <c r="C205" s="4" t="s">
        <v>7</v>
      </c>
      <c r="D205" s="5" t="d">
        <v>1965-06-10</v>
      </c>
      <c r="E205" s="17">
        <f>2024-1965</f>
        <v>59</v>
      </c>
      <c r="F205" s="6">
        <v>8047691</v>
      </c>
      <c r="G205" s="40" t="s">
        <v>962</v>
      </c>
      <c r="H205" s="4" t="s">
        <v>10</v>
      </c>
      <c r="I205" s="17" t="s">
        <v>31</v>
      </c>
      <c r="J205" s="17" t="s">
        <v>5</v>
      </c>
      <c r="K205" s="27"/>
      <c r="L205" s="27"/>
      <c r="M205" s="27"/>
    </row>
    <row r="206" spans="1:13" ht="16.5" customHeight="1" x14ac:dyDescent="0.25">
      <c r="A206" s="4" t="s">
        <v>550</v>
      </c>
      <c r="B206" s="17" t="s">
        <v>551</v>
      </c>
      <c r="C206" s="4" t="s">
        <v>2</v>
      </c>
      <c r="D206" s="5" t="d">
        <v>1961-06-11</v>
      </c>
      <c r="E206" s="17">
        <f>2024-1961</f>
        <v>63</v>
      </c>
      <c r="F206" s="6">
        <v>8040467</v>
      </c>
      <c r="G206" s="40" t="s">
        <v>962</v>
      </c>
      <c r="H206" s="4" t="s">
        <v>8</v>
      </c>
      <c r="I206" s="17" t="s">
        <v>31</v>
      </c>
      <c r="J206" s="17" t="s">
        <v>5</v>
      </c>
      <c r="K206" s="27"/>
      <c r="L206" s="27"/>
      <c r="M206" s="27"/>
    </row>
    <row r="207" spans="1:13" ht="15" customHeight="1" x14ac:dyDescent="0.25">
      <c r="A207" s="1" t="s">
        <v>378</v>
      </c>
      <c r="B207" s="22" t="s">
        <v>379</v>
      </c>
      <c r="C207" s="22" t="s">
        <v>2</v>
      </c>
      <c r="D207" s="2" t="d">
        <v>1986-04-04</v>
      </c>
      <c r="E207" s="1">
        <f>2024-1986</f>
        <v>38</v>
      </c>
      <c r="F207" s="3">
        <v>17793289</v>
      </c>
      <c r="G207" s="23" t="s">
        <v>3</v>
      </c>
      <c r="H207" s="23" t="s">
        <v>3</v>
      </c>
      <c r="I207" s="22" t="s">
        <v>4</v>
      </c>
      <c r="J207" s="23" t="s">
        <v>5</v>
      </c>
      <c r="K207" s="27"/>
      <c r="L207" s="27"/>
      <c r="M207" s="27"/>
    </row>
    <row r="208" spans="1:13" ht="15" customHeight="1" x14ac:dyDescent="0.25">
      <c r="A208" s="4" t="s">
        <v>380</v>
      </c>
      <c r="B208" s="17" t="s">
        <v>381</v>
      </c>
      <c r="C208" s="4" t="s">
        <v>7</v>
      </c>
      <c r="D208" s="5" t="d">
        <v>2011-04-04</v>
      </c>
      <c r="E208" s="17">
        <f>2024-2011</f>
        <v>13</v>
      </c>
      <c r="F208" s="6">
        <v>34140911</v>
      </c>
      <c r="G208" s="40" t="s">
        <v>962</v>
      </c>
      <c r="H208" s="4" t="s">
        <v>9</v>
      </c>
      <c r="I208" s="17" t="s">
        <v>4</v>
      </c>
      <c r="J208" s="17" t="s">
        <v>5</v>
      </c>
      <c r="K208" s="27"/>
      <c r="L208" s="27"/>
      <c r="M208" s="27"/>
    </row>
    <row r="209" spans="1:13" x14ac:dyDescent="0.25">
      <c r="A209" s="4" t="s">
        <v>382</v>
      </c>
      <c r="B209" s="17" t="s">
        <v>383</v>
      </c>
      <c r="C209" s="4" t="s">
        <v>2</v>
      </c>
      <c r="D209" s="5" t="d">
        <v>1962-03-02</v>
      </c>
      <c r="E209" s="17">
        <f>2024-1962</f>
        <v>62</v>
      </c>
      <c r="F209" s="6">
        <v>9198046</v>
      </c>
      <c r="G209" s="40" t="s">
        <v>962</v>
      </c>
      <c r="H209" s="4" t="s">
        <v>8</v>
      </c>
      <c r="I209" s="17" t="s">
        <v>30</v>
      </c>
      <c r="J209" s="17" t="s">
        <v>5</v>
      </c>
      <c r="K209" s="27"/>
      <c r="L209" s="27"/>
      <c r="M209" s="27"/>
    </row>
    <row r="210" spans="1:13" x14ac:dyDescent="0.25">
      <c r="A210" s="22" t="s">
        <v>734</v>
      </c>
      <c r="B210" s="22" t="s">
        <v>735</v>
      </c>
      <c r="C210" s="22" t="s">
        <v>2</v>
      </c>
      <c r="D210" s="28" t="d">
        <v>1971-08-13</v>
      </c>
      <c r="E210" s="22">
        <f>2024-1971</f>
        <v>53</v>
      </c>
      <c r="F210" s="7">
        <v>10239486</v>
      </c>
      <c r="G210" s="22" t="s">
        <v>3</v>
      </c>
      <c r="H210" s="22" t="s">
        <v>3</v>
      </c>
      <c r="I210" s="22" t="s">
        <v>4</v>
      </c>
      <c r="J210" s="22" t="s">
        <v>5</v>
      </c>
      <c r="K210" s="27"/>
      <c r="L210" s="27"/>
      <c r="M210" s="27"/>
    </row>
    <row r="211" spans="1:13" x14ac:dyDescent="0.25">
      <c r="A211" s="17" t="s">
        <v>736</v>
      </c>
      <c r="B211" s="17" t="s">
        <v>737</v>
      </c>
      <c r="C211" s="17" t="s">
        <v>2</v>
      </c>
      <c r="D211" s="32" t="d">
        <v>1957-04-25</v>
      </c>
      <c r="E211" s="17">
        <f>2024-1957</f>
        <v>67</v>
      </c>
      <c r="F211" s="8">
        <v>8072397</v>
      </c>
      <c r="G211" s="40" t="s">
        <v>962</v>
      </c>
      <c r="H211" s="39" t="s">
        <v>961</v>
      </c>
      <c r="I211" s="17" t="s">
        <v>4</v>
      </c>
      <c r="J211" s="17" t="s">
        <v>5</v>
      </c>
      <c r="K211" s="27"/>
      <c r="L211" s="27"/>
      <c r="M211" s="27"/>
    </row>
    <row r="212" spans="1:13" x14ac:dyDescent="0.25">
      <c r="A212" s="17" t="s">
        <v>738</v>
      </c>
      <c r="B212" s="17" t="s">
        <v>739</v>
      </c>
      <c r="C212" s="17" t="s">
        <v>2</v>
      </c>
      <c r="D212" s="32" t="d">
        <v>2021-08-23</v>
      </c>
      <c r="E212" s="17">
        <f>2024-2021</f>
        <v>3</v>
      </c>
      <c r="F212" s="8" t="s">
        <v>852</v>
      </c>
      <c r="G212" s="40" t="s">
        <v>962</v>
      </c>
      <c r="H212" s="17" t="s">
        <v>17</v>
      </c>
      <c r="I212" s="17" t="s">
        <v>4</v>
      </c>
      <c r="J212" s="17" t="s">
        <v>5</v>
      </c>
      <c r="K212" s="27"/>
      <c r="L212" s="27"/>
      <c r="M212" s="27"/>
    </row>
    <row r="213" spans="1:13" x14ac:dyDescent="0.25">
      <c r="A213" s="17" t="s">
        <v>740</v>
      </c>
      <c r="B213" s="17" t="s">
        <v>741</v>
      </c>
      <c r="C213" s="17" t="s">
        <v>2</v>
      </c>
      <c r="D213" s="32" t="d">
        <v>2020-02-25</v>
      </c>
      <c r="E213" s="17">
        <f>2025-2020</f>
        <v>5</v>
      </c>
      <c r="F213" s="8" t="s">
        <v>853</v>
      </c>
      <c r="G213" s="40" t="s">
        <v>962</v>
      </c>
      <c r="H213" s="17" t="s">
        <v>17</v>
      </c>
      <c r="I213" s="17" t="s">
        <v>4</v>
      </c>
      <c r="J213" s="17" t="s">
        <v>5</v>
      </c>
      <c r="K213" s="27"/>
      <c r="L213" s="27"/>
      <c r="M213" s="27"/>
    </row>
    <row r="214" spans="1:13" ht="15" customHeight="1" x14ac:dyDescent="0.25">
      <c r="A214" s="1" t="s">
        <v>421</v>
      </c>
      <c r="B214" s="22" t="s">
        <v>422</v>
      </c>
      <c r="C214" s="22" t="s">
        <v>2</v>
      </c>
      <c r="D214" s="2" t="d">
        <v>1944-05-05</v>
      </c>
      <c r="E214" s="1">
        <f>2024-1944</f>
        <v>80</v>
      </c>
      <c r="F214" s="3">
        <v>3036828</v>
      </c>
      <c r="G214" s="23" t="s">
        <v>3</v>
      </c>
      <c r="H214" s="23" t="s">
        <v>3</v>
      </c>
      <c r="I214" s="22" t="s">
        <v>66</v>
      </c>
      <c r="J214" s="23" t="s">
        <v>5</v>
      </c>
      <c r="K214" s="27"/>
      <c r="L214" s="27"/>
      <c r="M214" s="27"/>
    </row>
    <row r="215" spans="1:13" ht="14.25" customHeight="1" x14ac:dyDescent="0.25">
      <c r="A215" s="4" t="s">
        <v>423</v>
      </c>
      <c r="B215" s="17" t="s">
        <v>424</v>
      </c>
      <c r="C215" s="4" t="s">
        <v>2</v>
      </c>
      <c r="D215" s="5" t="d">
        <v>2024-01-07</v>
      </c>
      <c r="E215" s="17">
        <f>2025-2024</f>
        <v>1</v>
      </c>
      <c r="F215" s="6" t="s">
        <v>814</v>
      </c>
      <c r="G215" s="40" t="s">
        <v>962</v>
      </c>
      <c r="H215" s="4" t="s">
        <v>17</v>
      </c>
      <c r="I215" s="17" t="s">
        <v>4</v>
      </c>
      <c r="J215" s="17" t="s">
        <v>5</v>
      </c>
      <c r="K215" s="27"/>
      <c r="L215" s="27"/>
      <c r="M215" s="27"/>
    </row>
    <row r="216" spans="1:13" ht="15.75" customHeight="1" x14ac:dyDescent="0.25">
      <c r="A216" s="4" t="s">
        <v>425</v>
      </c>
      <c r="B216" s="17" t="s">
        <v>426</v>
      </c>
      <c r="C216" s="4" t="s">
        <v>2</v>
      </c>
      <c r="D216" s="5" t="d">
        <v>2008-03-24</v>
      </c>
      <c r="E216" s="17">
        <f>2024-2008</f>
        <v>16</v>
      </c>
      <c r="F216" s="6">
        <v>33081320</v>
      </c>
      <c r="G216" s="40" t="s">
        <v>962</v>
      </c>
      <c r="H216" s="4" t="s">
        <v>17</v>
      </c>
      <c r="I216" s="17" t="s">
        <v>4</v>
      </c>
      <c r="J216" s="17" t="s">
        <v>5</v>
      </c>
      <c r="K216" s="27"/>
      <c r="L216" s="27"/>
      <c r="M216" s="27"/>
    </row>
    <row r="217" spans="1:13" ht="13.5" customHeight="1" x14ac:dyDescent="0.25">
      <c r="A217" s="4" t="s">
        <v>427</v>
      </c>
      <c r="B217" s="17" t="s">
        <v>428</v>
      </c>
      <c r="C217" s="4" t="s">
        <v>2</v>
      </c>
      <c r="D217" s="5" t="d">
        <v>2008-09-26</v>
      </c>
      <c r="E217" s="17">
        <f>2024-2008</f>
        <v>16</v>
      </c>
      <c r="F217" s="6">
        <v>32814937</v>
      </c>
      <c r="G217" s="40" t="s">
        <v>962</v>
      </c>
      <c r="H217" s="4" t="s">
        <v>17</v>
      </c>
      <c r="I217" s="17" t="s">
        <v>4</v>
      </c>
      <c r="J217" s="17" t="s">
        <v>5</v>
      </c>
      <c r="K217" s="27"/>
      <c r="L217" s="27"/>
      <c r="M217" s="27"/>
    </row>
    <row r="218" spans="1:13" ht="15.75" customHeight="1" x14ac:dyDescent="0.25">
      <c r="A218" s="4" t="s">
        <v>429</v>
      </c>
      <c r="B218" s="17" t="s">
        <v>430</v>
      </c>
      <c r="C218" s="4" t="s">
        <v>7</v>
      </c>
      <c r="D218" s="5" t="d">
        <v>2010-06-12</v>
      </c>
      <c r="E218" s="17">
        <f>2024-2010</f>
        <v>14</v>
      </c>
      <c r="F218" s="6">
        <v>33213195</v>
      </c>
      <c r="G218" s="40" t="s">
        <v>962</v>
      </c>
      <c r="H218" s="4" t="s">
        <v>15</v>
      </c>
      <c r="I218" s="17" t="s">
        <v>4</v>
      </c>
      <c r="J218" s="17" t="s">
        <v>5</v>
      </c>
      <c r="K218" s="27"/>
      <c r="L218" s="27"/>
      <c r="M218" s="27"/>
    </row>
    <row r="219" spans="1:13" ht="16.5" customHeight="1" x14ac:dyDescent="0.25">
      <c r="A219" s="4" t="s">
        <v>431</v>
      </c>
      <c r="B219" s="17" t="s">
        <v>432</v>
      </c>
      <c r="C219" s="4" t="s">
        <v>7</v>
      </c>
      <c r="D219" s="5" t="d">
        <v>2007-03-02</v>
      </c>
      <c r="E219" s="17">
        <f>2024-2007</f>
        <v>17</v>
      </c>
      <c r="F219" s="6">
        <v>32507071</v>
      </c>
      <c r="G219" s="40" t="s">
        <v>962</v>
      </c>
      <c r="H219" s="4" t="s">
        <v>15</v>
      </c>
      <c r="I219" s="17" t="s">
        <v>4</v>
      </c>
      <c r="J219" s="17" t="s">
        <v>5</v>
      </c>
      <c r="K219" s="27"/>
      <c r="L219" s="27"/>
      <c r="M219" s="27"/>
    </row>
    <row r="220" spans="1:13" ht="18" customHeight="1" x14ac:dyDescent="0.25">
      <c r="A220" s="1" t="s">
        <v>376</v>
      </c>
      <c r="B220" s="22" t="s">
        <v>377</v>
      </c>
      <c r="C220" s="22" t="s">
        <v>2</v>
      </c>
      <c r="D220" s="2" t="d">
        <v>1965-11-14</v>
      </c>
      <c r="E220" s="1">
        <f>2024-1965</f>
        <v>59</v>
      </c>
      <c r="F220" s="3">
        <v>8043129</v>
      </c>
      <c r="G220" s="23" t="s">
        <v>3</v>
      </c>
      <c r="H220" s="23" t="s">
        <v>3</v>
      </c>
      <c r="I220" s="22" t="s">
        <v>4</v>
      </c>
      <c r="J220" s="23" t="s">
        <v>5</v>
      </c>
      <c r="K220" s="27"/>
      <c r="L220" s="27"/>
      <c r="M220" s="27"/>
    </row>
    <row r="221" spans="1:13" x14ac:dyDescent="0.25">
      <c r="A221" s="1" t="s">
        <v>286</v>
      </c>
      <c r="B221" s="22" t="s">
        <v>287</v>
      </c>
      <c r="C221" s="22" t="s">
        <v>2</v>
      </c>
      <c r="D221" s="2" t="d">
        <v>1987-09-25</v>
      </c>
      <c r="E221" s="1">
        <f>2024-1987</f>
        <v>37</v>
      </c>
      <c r="F221" s="3">
        <v>19995656</v>
      </c>
      <c r="G221" s="23" t="s">
        <v>3</v>
      </c>
      <c r="H221" s="23" t="s">
        <v>3</v>
      </c>
      <c r="I221" s="22" t="s">
        <v>4</v>
      </c>
      <c r="J221" s="23" t="s">
        <v>5</v>
      </c>
      <c r="K221" s="27"/>
      <c r="L221" s="27"/>
      <c r="M221" s="27"/>
    </row>
    <row r="222" spans="1:13" ht="14.25" customHeight="1" x14ac:dyDescent="0.25">
      <c r="A222" s="4" t="s">
        <v>288</v>
      </c>
      <c r="B222" s="17" t="s">
        <v>289</v>
      </c>
      <c r="C222" s="4" t="s">
        <v>2</v>
      </c>
      <c r="D222" s="5" t="d">
        <v>2008-06-06</v>
      </c>
      <c r="E222" s="17">
        <f>2024-2008</f>
        <v>16</v>
      </c>
      <c r="F222" s="6">
        <v>32598439</v>
      </c>
      <c r="G222" s="40" t="s">
        <v>962</v>
      </c>
      <c r="H222" s="4" t="s">
        <v>6</v>
      </c>
      <c r="I222" s="17" t="s">
        <v>4</v>
      </c>
      <c r="J222" s="17" t="s">
        <v>5</v>
      </c>
      <c r="K222" s="27"/>
      <c r="L222" s="27"/>
      <c r="M222" s="27"/>
    </row>
    <row r="223" spans="1:13" ht="17.25" customHeight="1" x14ac:dyDescent="0.25">
      <c r="A223" s="4" t="s">
        <v>290</v>
      </c>
      <c r="B223" s="17" t="s">
        <v>291</v>
      </c>
      <c r="C223" s="4" t="s">
        <v>7</v>
      </c>
      <c r="D223" s="5" t="d">
        <v>2014-04-24</v>
      </c>
      <c r="E223" s="17">
        <f>2024-2014</f>
        <v>10</v>
      </c>
      <c r="F223" s="6">
        <v>36428536</v>
      </c>
      <c r="G223" s="40" t="s">
        <v>962</v>
      </c>
      <c r="H223" s="4" t="s">
        <v>9</v>
      </c>
      <c r="I223" s="17" t="s">
        <v>4</v>
      </c>
      <c r="J223" s="17" t="s">
        <v>5</v>
      </c>
      <c r="K223" s="27"/>
      <c r="L223" s="27"/>
      <c r="M223" s="27"/>
    </row>
    <row r="224" spans="1:13" ht="15" customHeight="1" x14ac:dyDescent="0.25">
      <c r="A224" s="4" t="s">
        <v>292</v>
      </c>
      <c r="B224" s="17" t="s">
        <v>293</v>
      </c>
      <c r="C224" s="4" t="s">
        <v>2</v>
      </c>
      <c r="D224" s="5" t="d">
        <v>1970-04-28</v>
      </c>
      <c r="E224" s="17">
        <f>2024-1970</f>
        <v>54</v>
      </c>
      <c r="F224" s="6">
        <v>10718995</v>
      </c>
      <c r="G224" s="40" t="s">
        <v>962</v>
      </c>
      <c r="H224" s="4" t="s">
        <v>8</v>
      </c>
      <c r="I224" s="17" t="s">
        <v>4</v>
      </c>
      <c r="J224" s="17" t="s">
        <v>5</v>
      </c>
      <c r="K224" s="27"/>
      <c r="L224" s="27"/>
      <c r="M224" s="27"/>
    </row>
    <row r="225" spans="1:13" ht="16.5" customHeight="1" x14ac:dyDescent="0.25">
      <c r="A225" s="4" t="s">
        <v>294</v>
      </c>
      <c r="B225" s="17" t="s">
        <v>295</v>
      </c>
      <c r="C225" s="4" t="s">
        <v>7</v>
      </c>
      <c r="D225" s="5" t="d">
        <v>1985-12-10</v>
      </c>
      <c r="E225" s="17">
        <f>2024-1985</f>
        <v>39</v>
      </c>
      <c r="F225" s="6">
        <v>17664669</v>
      </c>
      <c r="G225" s="40" t="s">
        <v>962</v>
      </c>
      <c r="H225" s="39" t="s">
        <v>960</v>
      </c>
      <c r="I225" s="17" t="s">
        <v>4</v>
      </c>
      <c r="J225" s="17" t="s">
        <v>5</v>
      </c>
      <c r="K225" s="27"/>
      <c r="L225" s="27"/>
      <c r="M225" s="27"/>
    </row>
    <row r="226" spans="1:13" ht="16.5" customHeight="1" x14ac:dyDescent="0.25">
      <c r="A226" s="1" t="s">
        <v>898</v>
      </c>
      <c r="B226" s="22" t="s">
        <v>897</v>
      </c>
      <c r="C226" s="22" t="s">
        <v>2</v>
      </c>
      <c r="D226" s="2" t="d">
        <v>1955-03-10</v>
      </c>
      <c r="E226" s="1">
        <f>2024-1955</f>
        <v>69</v>
      </c>
      <c r="F226" s="3">
        <v>8018642</v>
      </c>
      <c r="G226" s="23" t="s">
        <v>3</v>
      </c>
      <c r="H226" s="23" t="s">
        <v>3</v>
      </c>
      <c r="I226" s="22" t="s">
        <v>31</v>
      </c>
      <c r="J226" s="23" t="s">
        <v>5</v>
      </c>
      <c r="K226" s="27"/>
      <c r="L226" s="27"/>
      <c r="M226" s="27"/>
    </row>
    <row r="227" spans="1:13" ht="19.5" customHeight="1" x14ac:dyDescent="0.25">
      <c r="A227" s="4" t="s">
        <v>899</v>
      </c>
      <c r="B227" s="17" t="s">
        <v>900</v>
      </c>
      <c r="C227" s="4" t="s">
        <v>7</v>
      </c>
      <c r="D227" s="5" t="d">
        <v>1952-11-17</v>
      </c>
      <c r="E227" s="17">
        <f>2024-1952</f>
        <v>72</v>
      </c>
      <c r="F227" s="6">
        <v>5205217</v>
      </c>
      <c r="G227" s="40" t="s">
        <v>962</v>
      </c>
      <c r="H227" s="39" t="s">
        <v>960</v>
      </c>
      <c r="I227" s="17" t="s">
        <v>31</v>
      </c>
      <c r="J227" s="17" t="s">
        <v>5</v>
      </c>
      <c r="K227" s="27"/>
      <c r="L227" s="27"/>
      <c r="M227" s="27"/>
    </row>
    <row r="228" spans="1:13" ht="14.25" customHeight="1" x14ac:dyDescent="0.25">
      <c r="A228" s="1" t="s">
        <v>311</v>
      </c>
      <c r="B228" s="22" t="s">
        <v>312</v>
      </c>
      <c r="C228" s="22" t="s">
        <v>2</v>
      </c>
      <c r="D228" s="2" t="d">
        <v>1954-09-19</v>
      </c>
      <c r="E228" s="1">
        <f>2024-1954</f>
        <v>70</v>
      </c>
      <c r="F228" s="3">
        <v>6534506</v>
      </c>
      <c r="G228" s="23" t="s">
        <v>3</v>
      </c>
      <c r="H228" s="23" t="s">
        <v>3</v>
      </c>
      <c r="I228" s="22" t="s">
        <v>31</v>
      </c>
      <c r="J228" s="23" t="s">
        <v>5</v>
      </c>
      <c r="K228" s="27"/>
      <c r="L228" s="27"/>
      <c r="M228" s="27"/>
    </row>
    <row r="229" spans="1:13" ht="17.25" customHeight="1" x14ac:dyDescent="0.25">
      <c r="A229" s="4" t="s">
        <v>322</v>
      </c>
      <c r="B229" s="17" t="s">
        <v>323</v>
      </c>
      <c r="C229" s="4" t="s">
        <v>7</v>
      </c>
      <c r="D229" s="5" t="d">
        <v>2009-03-19</v>
      </c>
      <c r="E229" s="17">
        <f>2024-2009</f>
        <v>15</v>
      </c>
      <c r="F229" s="6">
        <v>32867737</v>
      </c>
      <c r="G229" s="40" t="s">
        <v>962</v>
      </c>
      <c r="H229" s="4" t="s">
        <v>15</v>
      </c>
      <c r="I229" s="17" t="s">
        <v>4</v>
      </c>
      <c r="J229" s="17" t="s">
        <v>5</v>
      </c>
      <c r="K229" s="27"/>
      <c r="L229" s="27"/>
      <c r="M229" s="27"/>
    </row>
    <row r="230" spans="1:13" ht="15.75" customHeight="1" x14ac:dyDescent="0.25">
      <c r="A230" s="4" t="s">
        <v>324</v>
      </c>
      <c r="B230" s="17" t="s">
        <v>325</v>
      </c>
      <c r="C230" s="4" t="s">
        <v>7</v>
      </c>
      <c r="D230" s="5" t="d">
        <v>2014-02-20</v>
      </c>
      <c r="E230" s="17">
        <f>2025-2014</f>
        <v>11</v>
      </c>
      <c r="F230" s="6">
        <v>35160348</v>
      </c>
      <c r="G230" s="40" t="s">
        <v>962</v>
      </c>
      <c r="H230" s="4" t="s">
        <v>15</v>
      </c>
      <c r="I230" s="17" t="s">
        <v>4</v>
      </c>
      <c r="J230" s="17" t="s">
        <v>5</v>
      </c>
      <c r="K230" s="27"/>
      <c r="L230" s="27"/>
      <c r="M230" s="27"/>
    </row>
    <row r="231" spans="1:13" ht="15.75" customHeight="1" x14ac:dyDescent="0.25">
      <c r="A231" s="1" t="s">
        <v>902</v>
      </c>
      <c r="B231" s="22" t="s">
        <v>313</v>
      </c>
      <c r="C231" s="22" t="s">
        <v>2</v>
      </c>
      <c r="D231" s="2" t="d">
        <v>1974-04-24</v>
      </c>
      <c r="E231" s="1">
        <f>2024-1974</f>
        <v>50</v>
      </c>
      <c r="F231" s="3">
        <v>12048750</v>
      </c>
      <c r="G231" s="23" t="s">
        <v>3</v>
      </c>
      <c r="H231" s="23" t="s">
        <v>3</v>
      </c>
      <c r="I231" s="22" t="s">
        <v>4</v>
      </c>
      <c r="J231" s="23" t="s">
        <v>5</v>
      </c>
      <c r="K231" s="27"/>
      <c r="L231" s="27"/>
      <c r="M231" s="27"/>
    </row>
    <row r="232" spans="1:13" ht="18.75" customHeight="1" x14ac:dyDescent="0.25">
      <c r="A232" s="4" t="s">
        <v>326</v>
      </c>
      <c r="B232" s="17" t="s">
        <v>327</v>
      </c>
      <c r="C232" s="4" t="s">
        <v>7</v>
      </c>
      <c r="D232" s="5" t="d">
        <v>1978-03-16</v>
      </c>
      <c r="E232" s="17">
        <f>2024-1978</f>
        <v>46</v>
      </c>
      <c r="F232" s="6">
        <v>13525201</v>
      </c>
      <c r="G232" s="40" t="s">
        <v>962</v>
      </c>
      <c r="H232" s="39" t="s">
        <v>960</v>
      </c>
      <c r="I232" s="17" t="s">
        <v>4</v>
      </c>
      <c r="J232" s="17" t="s">
        <v>5</v>
      </c>
      <c r="K232" s="27"/>
      <c r="L232" s="27"/>
      <c r="M232" s="27"/>
    </row>
    <row r="233" spans="1:13" ht="20.25" customHeight="1" x14ac:dyDescent="0.25">
      <c r="A233" s="4" t="s">
        <v>328</v>
      </c>
      <c r="B233" s="17" t="s">
        <v>329</v>
      </c>
      <c r="C233" s="4" t="s">
        <v>2</v>
      </c>
      <c r="D233" s="5" t="d">
        <v>2003-09-11</v>
      </c>
      <c r="E233" s="17">
        <f>2024-2003</f>
        <v>21</v>
      </c>
      <c r="F233" s="6">
        <v>28746386</v>
      </c>
      <c r="G233" s="40" t="s">
        <v>962</v>
      </c>
      <c r="H233" s="4" t="s">
        <v>6</v>
      </c>
      <c r="I233" s="17" t="s">
        <v>4</v>
      </c>
      <c r="J233" s="17" t="s">
        <v>5</v>
      </c>
      <c r="K233" s="27"/>
      <c r="L233" s="27"/>
      <c r="M233" s="27"/>
    </row>
    <row r="234" spans="1:13" ht="18.75" customHeight="1" x14ac:dyDescent="0.25">
      <c r="A234" s="4" t="s">
        <v>158</v>
      </c>
      <c r="B234" s="17" t="s">
        <v>159</v>
      </c>
      <c r="C234" s="4" t="s">
        <v>7</v>
      </c>
      <c r="D234" s="5" t="d">
        <v>2023-03-03</v>
      </c>
      <c r="E234" s="17">
        <f>2024-2023</f>
        <v>1</v>
      </c>
      <c r="F234" s="6" t="s">
        <v>806</v>
      </c>
      <c r="G234" s="40" t="s">
        <v>962</v>
      </c>
      <c r="H234" s="4" t="s">
        <v>15</v>
      </c>
      <c r="I234" s="17" t="s">
        <v>4</v>
      </c>
      <c r="J234" s="17" t="s">
        <v>5</v>
      </c>
      <c r="K234" s="27"/>
      <c r="L234" s="27"/>
      <c r="M234" s="27"/>
    </row>
    <row r="235" spans="1:13" x14ac:dyDescent="0.25">
      <c r="A235" s="4" t="s">
        <v>160</v>
      </c>
      <c r="B235" s="17" t="s">
        <v>161</v>
      </c>
      <c r="C235" s="4" t="s">
        <v>7</v>
      </c>
      <c r="D235" s="5" t="d">
        <v>2018-09-21</v>
      </c>
      <c r="E235" s="17">
        <f>2024-2018</f>
        <v>6</v>
      </c>
      <c r="F235" s="6" t="s">
        <v>807</v>
      </c>
      <c r="G235" s="40" t="s">
        <v>962</v>
      </c>
      <c r="H235" s="4" t="s">
        <v>15</v>
      </c>
      <c r="I235" s="17" t="s">
        <v>4</v>
      </c>
      <c r="J235" s="17" t="s">
        <v>5</v>
      </c>
      <c r="K235" s="27"/>
      <c r="L235" s="27"/>
      <c r="M235" s="27"/>
    </row>
    <row r="236" spans="1:13" x14ac:dyDescent="0.25">
      <c r="A236" s="1" t="s">
        <v>33</v>
      </c>
      <c r="B236" s="12" t="s">
        <v>34</v>
      </c>
      <c r="C236" s="22" t="s">
        <v>2</v>
      </c>
      <c r="D236" s="24" t="d">
        <v>1956-11-01</v>
      </c>
      <c r="E236" s="22">
        <f>2024-1956</f>
        <v>68</v>
      </c>
      <c r="F236" s="3">
        <v>6534634</v>
      </c>
      <c r="G236" s="23" t="s">
        <v>3</v>
      </c>
      <c r="H236" s="23" t="s">
        <v>3</v>
      </c>
      <c r="I236" s="23" t="s">
        <v>4</v>
      </c>
      <c r="J236" s="23" t="s">
        <v>5</v>
      </c>
      <c r="K236" s="27"/>
      <c r="L236" s="27"/>
      <c r="M236" s="27"/>
    </row>
    <row r="237" spans="1:13" ht="18.75" customHeight="1" x14ac:dyDescent="0.25">
      <c r="A237" s="4" t="s">
        <v>35</v>
      </c>
      <c r="B237" s="13" t="s">
        <v>36</v>
      </c>
      <c r="C237" s="4" t="s">
        <v>7</v>
      </c>
      <c r="D237" s="5" t="d">
        <v>1953-09-16</v>
      </c>
      <c r="E237" s="17">
        <f>2025-1953</f>
        <v>72</v>
      </c>
      <c r="F237" s="8">
        <v>4315299</v>
      </c>
      <c r="G237" s="40" t="s">
        <v>962</v>
      </c>
      <c r="H237" s="39" t="s">
        <v>960</v>
      </c>
      <c r="I237" s="17" t="s">
        <v>4</v>
      </c>
      <c r="J237" s="17" t="s">
        <v>5</v>
      </c>
      <c r="K237" s="27"/>
      <c r="L237" s="27"/>
      <c r="M237" s="27"/>
    </row>
    <row r="238" spans="1:13" ht="17.25" customHeight="1" x14ac:dyDescent="0.25">
      <c r="A238" s="4" t="s">
        <v>38</v>
      </c>
      <c r="B238" s="13" t="s">
        <v>37</v>
      </c>
      <c r="C238" s="4" t="s">
        <v>7</v>
      </c>
      <c r="D238" s="5" t="d">
        <v>2017-09-17</v>
      </c>
      <c r="E238" s="17">
        <f>2024-2017</f>
        <v>7</v>
      </c>
      <c r="F238" s="6" t="s">
        <v>772</v>
      </c>
      <c r="G238" s="40" t="s">
        <v>962</v>
      </c>
      <c r="H238" s="4" t="s">
        <v>15</v>
      </c>
      <c r="I238" s="17" t="s">
        <v>4</v>
      </c>
      <c r="J238" s="17" t="s">
        <v>5</v>
      </c>
      <c r="K238" s="27"/>
      <c r="L238" s="27"/>
      <c r="M238" s="27"/>
    </row>
    <row r="239" spans="1:13" ht="20.25" customHeight="1" x14ac:dyDescent="0.25">
      <c r="A239" s="4" t="s">
        <v>885</v>
      </c>
      <c r="B239" s="13" t="s">
        <v>886</v>
      </c>
      <c r="C239" s="4" t="s">
        <v>2</v>
      </c>
      <c r="D239" s="5" t="d">
        <v>2009-06-28</v>
      </c>
      <c r="E239" s="17">
        <f>2024-2009</f>
        <v>15</v>
      </c>
      <c r="F239" s="6">
        <v>33101671</v>
      </c>
      <c r="G239" s="40" t="s">
        <v>962</v>
      </c>
      <c r="H239" s="4" t="s">
        <v>17</v>
      </c>
      <c r="I239" s="17" t="s">
        <v>4</v>
      </c>
      <c r="J239" s="17" t="s">
        <v>5</v>
      </c>
      <c r="K239" s="27"/>
      <c r="L239" s="27"/>
      <c r="M239" s="27"/>
    </row>
    <row r="240" spans="1:13" x14ac:dyDescent="0.25">
      <c r="A240" s="22" t="s">
        <v>932</v>
      </c>
      <c r="B240" s="22" t="s">
        <v>933</v>
      </c>
      <c r="C240" s="22" t="s">
        <v>2</v>
      </c>
      <c r="D240" s="28" t="d">
        <v>1961-02-08</v>
      </c>
      <c r="E240" s="22">
        <f>2024-1961</f>
        <v>63</v>
      </c>
      <c r="F240" s="7">
        <v>9494350</v>
      </c>
      <c r="G240" s="23" t="s">
        <v>3</v>
      </c>
      <c r="H240" s="23" t="s">
        <v>3</v>
      </c>
      <c r="I240" s="22" t="s">
        <v>31</v>
      </c>
      <c r="J240" s="22" t="s">
        <v>5</v>
      </c>
      <c r="K240" s="27"/>
      <c r="L240" s="27"/>
      <c r="M240" s="27"/>
    </row>
    <row r="241" spans="1:13" x14ac:dyDescent="0.25">
      <c r="A241" s="17" t="s">
        <v>934</v>
      </c>
      <c r="B241" s="17" t="s">
        <v>935</v>
      </c>
      <c r="C241" s="17" t="s">
        <v>7</v>
      </c>
      <c r="D241" s="32" t="d">
        <v>1957-09-08</v>
      </c>
      <c r="E241" s="17">
        <f>2025-1957</f>
        <v>68</v>
      </c>
      <c r="F241" s="8">
        <v>8085050</v>
      </c>
      <c r="G241" s="40" t="s">
        <v>962</v>
      </c>
      <c r="H241" s="39" t="s">
        <v>960</v>
      </c>
      <c r="I241" s="17" t="s">
        <v>31</v>
      </c>
      <c r="J241" s="17" t="s">
        <v>5</v>
      </c>
      <c r="K241" s="27"/>
      <c r="L241" s="27"/>
      <c r="M241" s="27"/>
    </row>
    <row r="242" spans="1:13" x14ac:dyDescent="0.25">
      <c r="A242" s="17" t="s">
        <v>936</v>
      </c>
      <c r="B242" s="17" t="s">
        <v>937</v>
      </c>
      <c r="C242" s="17" t="s">
        <v>7</v>
      </c>
      <c r="D242" s="32" t="d">
        <v>2012-09-26</v>
      </c>
      <c r="E242" s="17">
        <f>2024-2012</f>
        <v>12</v>
      </c>
      <c r="F242" s="8">
        <v>34560215</v>
      </c>
      <c r="G242" s="40" t="s">
        <v>962</v>
      </c>
      <c r="H242" s="17" t="s">
        <v>15</v>
      </c>
      <c r="I242" s="17" t="s">
        <v>4</v>
      </c>
      <c r="J242" s="17" t="s">
        <v>5</v>
      </c>
      <c r="K242" s="27"/>
      <c r="L242" s="27"/>
      <c r="M242" s="27"/>
    </row>
    <row r="243" spans="1:13" x14ac:dyDescent="0.25">
      <c r="A243" s="17" t="s">
        <v>938</v>
      </c>
      <c r="B243" s="17" t="s">
        <v>939</v>
      </c>
      <c r="C243" s="17" t="s">
        <v>2</v>
      </c>
      <c r="D243" s="32" t="d">
        <v>2015-06-01</v>
      </c>
      <c r="E243" s="17">
        <v>10</v>
      </c>
      <c r="F243" s="8" t="s">
        <v>953</v>
      </c>
      <c r="G243" s="40" t="s">
        <v>962</v>
      </c>
      <c r="H243" s="17" t="s">
        <v>17</v>
      </c>
      <c r="I243" s="17" t="s">
        <v>4</v>
      </c>
      <c r="J243" s="17" t="s">
        <v>5</v>
      </c>
      <c r="K243" s="27"/>
      <c r="L243" s="27"/>
      <c r="M243" s="27"/>
    </row>
    <row r="244" spans="1:13" ht="13.5" customHeight="1" x14ac:dyDescent="0.25">
      <c r="A244" s="1" t="s">
        <v>931</v>
      </c>
      <c r="B244" s="10" t="s">
        <v>304</v>
      </c>
      <c r="C244" s="2" t="s">
        <v>2</v>
      </c>
      <c r="D244" s="2" t="d">
        <v>1961-10-25</v>
      </c>
      <c r="E244" s="1">
        <f>2024-1961</f>
        <v>63</v>
      </c>
      <c r="F244" s="3">
        <v>9026717</v>
      </c>
      <c r="G244" s="23" t="s">
        <v>3</v>
      </c>
      <c r="H244" s="23" t="s">
        <v>3</v>
      </c>
      <c r="I244" s="22" t="s">
        <v>4</v>
      </c>
      <c r="J244" s="23" t="s">
        <v>5</v>
      </c>
      <c r="K244" s="27"/>
      <c r="L244" s="27"/>
      <c r="M244" s="27"/>
    </row>
    <row r="245" spans="1:13" x14ac:dyDescent="0.25">
      <c r="A245" s="22" t="s">
        <v>863</v>
      </c>
      <c r="B245" s="22" t="s">
        <v>858</v>
      </c>
      <c r="C245" s="22" t="s">
        <v>2</v>
      </c>
      <c r="D245" s="28" t="d">
        <v>1947-03-19</v>
      </c>
      <c r="E245" s="22">
        <f>2025-1947</f>
        <v>78</v>
      </c>
      <c r="F245" s="7">
        <v>3037313</v>
      </c>
      <c r="G245" s="22" t="s">
        <v>3</v>
      </c>
      <c r="H245" s="22" t="s">
        <v>3</v>
      </c>
      <c r="I245" s="22" t="s">
        <v>30</v>
      </c>
      <c r="J245" s="22" t="s">
        <v>5</v>
      </c>
      <c r="K245" s="27"/>
      <c r="L245" s="27"/>
      <c r="M245" s="27"/>
    </row>
    <row r="246" spans="1:13" x14ac:dyDescent="0.25">
      <c r="A246" s="17" t="s">
        <v>859</v>
      </c>
      <c r="B246" s="17" t="s">
        <v>860</v>
      </c>
      <c r="C246" s="17" t="s">
        <v>7</v>
      </c>
      <c r="D246" s="32" t="d">
        <v>2001-03-19</v>
      </c>
      <c r="E246" s="17">
        <f>2025-2001</f>
        <v>24</v>
      </c>
      <c r="F246" s="8">
        <v>27919814</v>
      </c>
      <c r="G246" s="40" t="s">
        <v>962</v>
      </c>
      <c r="H246" s="17" t="s">
        <v>15</v>
      </c>
      <c r="I246" s="17" t="s">
        <v>4</v>
      </c>
      <c r="J246" s="17" t="s">
        <v>5</v>
      </c>
      <c r="K246" s="27"/>
      <c r="L246" s="27"/>
      <c r="M246" s="27"/>
    </row>
    <row r="247" spans="1:13" x14ac:dyDescent="0.25">
      <c r="A247" s="17" t="s">
        <v>861</v>
      </c>
      <c r="B247" s="17" t="s">
        <v>862</v>
      </c>
      <c r="C247" s="17" t="s">
        <v>7</v>
      </c>
      <c r="D247" s="32" t="d">
        <v>2004-07-06</v>
      </c>
      <c r="E247" s="17">
        <f>2024-2004</f>
        <v>20</v>
      </c>
      <c r="F247" s="8">
        <v>30680691</v>
      </c>
      <c r="G247" s="40" t="s">
        <v>962</v>
      </c>
      <c r="H247" s="17" t="s">
        <v>15</v>
      </c>
      <c r="I247" s="17" t="s">
        <v>4</v>
      </c>
      <c r="J247" s="17" t="s">
        <v>5</v>
      </c>
      <c r="K247" s="27"/>
      <c r="L247" s="27"/>
      <c r="M247" s="27"/>
    </row>
    <row r="248" spans="1:13" ht="16.5" customHeight="1" x14ac:dyDescent="0.25">
      <c r="A248" s="1" t="s">
        <v>694</v>
      </c>
      <c r="B248" s="22" t="s">
        <v>695</v>
      </c>
      <c r="C248" s="22" t="s">
        <v>2</v>
      </c>
      <c r="D248" s="2" t="d">
        <v>1958-09-25</v>
      </c>
      <c r="E248" s="1">
        <f>2024-1958</f>
        <v>66</v>
      </c>
      <c r="F248" s="3">
        <v>9026320</v>
      </c>
      <c r="G248" s="23" t="s">
        <v>3</v>
      </c>
      <c r="H248" s="23" t="s">
        <v>3</v>
      </c>
      <c r="I248" s="22" t="s">
        <v>4</v>
      </c>
      <c r="J248" s="22" t="s">
        <v>5</v>
      </c>
      <c r="K248" s="27"/>
      <c r="L248" s="27"/>
      <c r="M248" s="27"/>
    </row>
    <row r="249" spans="1:13" ht="16.5" customHeight="1" x14ac:dyDescent="0.25">
      <c r="A249" s="1" t="s">
        <v>223</v>
      </c>
      <c r="B249" s="22" t="s">
        <v>224</v>
      </c>
      <c r="C249" s="22" t="s">
        <v>2</v>
      </c>
      <c r="D249" s="2" t="d">
        <v>1960-03-13</v>
      </c>
      <c r="E249" s="1">
        <f>2024-1960</f>
        <v>64</v>
      </c>
      <c r="F249" s="3">
        <v>5581280</v>
      </c>
      <c r="G249" s="23" t="s">
        <v>3</v>
      </c>
      <c r="H249" s="23" t="s">
        <v>3</v>
      </c>
      <c r="I249" s="22" t="s">
        <v>31</v>
      </c>
      <c r="J249" s="23" t="s">
        <v>5</v>
      </c>
      <c r="K249" s="27"/>
      <c r="L249" s="27"/>
      <c r="M249" s="27"/>
    </row>
    <row r="250" spans="1:13" ht="15" customHeight="1" x14ac:dyDescent="0.25">
      <c r="A250" s="4" t="s">
        <v>225</v>
      </c>
      <c r="B250" s="17" t="s">
        <v>226</v>
      </c>
      <c r="C250" s="4" t="s">
        <v>7</v>
      </c>
      <c r="D250" s="5" t="d">
        <v>1959-08-04</v>
      </c>
      <c r="E250" s="17">
        <f>2024-1959</f>
        <v>65</v>
      </c>
      <c r="F250" s="6">
        <v>5509399</v>
      </c>
      <c r="G250" s="40" t="s">
        <v>962</v>
      </c>
      <c r="H250" s="39" t="s">
        <v>960</v>
      </c>
      <c r="I250" s="17" t="s">
        <v>31</v>
      </c>
      <c r="J250" s="17" t="s">
        <v>5</v>
      </c>
      <c r="K250" s="27"/>
      <c r="L250" s="27"/>
      <c r="M250" s="27"/>
    </row>
    <row r="251" spans="1:13" ht="15.75" customHeight="1" x14ac:dyDescent="0.25">
      <c r="A251" s="4" t="s">
        <v>227</v>
      </c>
      <c r="B251" s="17" t="s">
        <v>228</v>
      </c>
      <c r="C251" s="4" t="s">
        <v>7</v>
      </c>
      <c r="D251" s="5" t="d">
        <v>2004-05-09</v>
      </c>
      <c r="E251" s="17">
        <f>2024-2004</f>
        <v>20</v>
      </c>
      <c r="F251" s="6">
        <v>30373398</v>
      </c>
      <c r="G251" s="40" t="s">
        <v>962</v>
      </c>
      <c r="H251" s="4" t="s">
        <v>15</v>
      </c>
      <c r="I251" s="17" t="s">
        <v>4</v>
      </c>
      <c r="J251" s="17" t="s">
        <v>5</v>
      </c>
      <c r="K251" s="27"/>
      <c r="L251" s="27"/>
      <c r="M251" s="27"/>
    </row>
    <row r="252" spans="1:13" ht="18" customHeight="1" x14ac:dyDescent="0.25">
      <c r="A252" s="4" t="s">
        <v>229</v>
      </c>
      <c r="B252" s="17" t="s">
        <v>230</v>
      </c>
      <c r="C252" s="4" t="s">
        <v>2</v>
      </c>
      <c r="D252" s="5" t="d">
        <v>2017-02-09</v>
      </c>
      <c r="E252" s="17">
        <f>2025-2017</f>
        <v>8</v>
      </c>
      <c r="F252" s="6" t="s">
        <v>792</v>
      </c>
      <c r="G252" s="40" t="s">
        <v>962</v>
      </c>
      <c r="H252" s="4" t="s">
        <v>17</v>
      </c>
      <c r="I252" s="17" t="s">
        <v>4</v>
      </c>
      <c r="J252" s="17" t="s">
        <v>5</v>
      </c>
      <c r="K252" s="27"/>
      <c r="L252" s="27"/>
      <c r="M252" s="27"/>
    </row>
    <row r="253" spans="1:13" ht="14.25" customHeight="1" x14ac:dyDescent="0.25">
      <c r="A253" s="4" t="s">
        <v>229</v>
      </c>
      <c r="B253" s="17" t="s">
        <v>231</v>
      </c>
      <c r="C253" s="4" t="s">
        <v>2</v>
      </c>
      <c r="D253" s="5" t="d">
        <v>2024-09-25</v>
      </c>
      <c r="E253" s="17">
        <v>1</v>
      </c>
      <c r="F253" s="6" t="s">
        <v>793</v>
      </c>
      <c r="G253" s="40" t="s">
        <v>962</v>
      </c>
      <c r="H253" s="4" t="s">
        <v>17</v>
      </c>
      <c r="I253" s="17" t="s">
        <v>4</v>
      </c>
      <c r="J253" s="17" t="s">
        <v>5</v>
      </c>
      <c r="K253" s="27"/>
      <c r="L253" s="27"/>
      <c r="M253" s="27"/>
    </row>
    <row r="254" spans="1:13" ht="16.5" customHeight="1" x14ac:dyDescent="0.25">
      <c r="A254" s="1" t="s">
        <v>495</v>
      </c>
      <c r="B254" s="22" t="s">
        <v>496</v>
      </c>
      <c r="C254" s="1" t="s">
        <v>7</v>
      </c>
      <c r="D254" s="2" t="d">
        <v>1972-08-30</v>
      </c>
      <c r="E254" s="22">
        <f>2024-1972</f>
        <v>52</v>
      </c>
      <c r="F254" s="3">
        <v>10901225</v>
      </c>
      <c r="G254" s="23" t="s">
        <v>3</v>
      </c>
      <c r="H254" s="23" t="s">
        <v>3</v>
      </c>
      <c r="I254" s="22" t="s">
        <v>4</v>
      </c>
      <c r="J254" s="23" t="s">
        <v>5</v>
      </c>
      <c r="K254" s="27"/>
      <c r="L254" s="27"/>
      <c r="M254" s="27"/>
    </row>
    <row r="255" spans="1:13" ht="15" customHeight="1" x14ac:dyDescent="0.25">
      <c r="A255" s="4" t="s">
        <v>497</v>
      </c>
      <c r="B255" s="17" t="s">
        <v>182</v>
      </c>
      <c r="C255" s="4" t="s">
        <v>2</v>
      </c>
      <c r="D255" s="5" t="d">
        <v>1951-07-21</v>
      </c>
      <c r="E255" s="17">
        <f>2024-1951</f>
        <v>73</v>
      </c>
      <c r="F255" s="6">
        <v>9069837</v>
      </c>
      <c r="G255" s="40" t="s">
        <v>962</v>
      </c>
      <c r="H255" s="4" t="s">
        <v>8</v>
      </c>
      <c r="I255" s="17" t="s">
        <v>31</v>
      </c>
      <c r="J255" s="17" t="s">
        <v>5</v>
      </c>
      <c r="K255" s="27"/>
      <c r="L255" s="27"/>
      <c r="M255" s="27"/>
    </row>
    <row r="256" spans="1:13" ht="15" customHeight="1" x14ac:dyDescent="0.25">
      <c r="A256" s="4" t="s">
        <v>498</v>
      </c>
      <c r="B256" s="17" t="s">
        <v>499</v>
      </c>
      <c r="C256" s="4" t="s">
        <v>2</v>
      </c>
      <c r="D256" s="5" t="d">
        <v>1983-03-12</v>
      </c>
      <c r="E256" s="17">
        <f>2024-1983</f>
        <v>41</v>
      </c>
      <c r="F256" s="6">
        <v>17769301</v>
      </c>
      <c r="G256" s="40" t="s">
        <v>962</v>
      </c>
      <c r="H256" s="39" t="s">
        <v>961</v>
      </c>
      <c r="I256" s="17" t="s">
        <v>4</v>
      </c>
      <c r="J256" s="17" t="s">
        <v>5</v>
      </c>
      <c r="K256" s="27"/>
      <c r="L256" s="27"/>
      <c r="M256" s="27"/>
    </row>
    <row r="257" spans="1:13" ht="17.25" customHeight="1" x14ac:dyDescent="0.25">
      <c r="A257" s="1" t="s">
        <v>402</v>
      </c>
      <c r="B257" s="22" t="s">
        <v>403</v>
      </c>
      <c r="C257" s="22" t="s">
        <v>2</v>
      </c>
      <c r="D257" s="2" t="d">
        <v>1961-08-22</v>
      </c>
      <c r="E257" s="1">
        <f>2024-1961</f>
        <v>63</v>
      </c>
      <c r="F257" s="3">
        <v>9083589</v>
      </c>
      <c r="G257" s="23" t="s">
        <v>3</v>
      </c>
      <c r="H257" s="23" t="s">
        <v>3</v>
      </c>
      <c r="I257" s="22" t="s">
        <v>4</v>
      </c>
      <c r="J257" s="23" t="s">
        <v>5</v>
      </c>
      <c r="K257" s="27"/>
      <c r="L257" s="27"/>
      <c r="M257" s="27"/>
    </row>
    <row r="258" spans="1:13" ht="15.75" customHeight="1" x14ac:dyDescent="0.25">
      <c r="A258" s="4" t="s">
        <v>404</v>
      </c>
      <c r="B258" s="17" t="s">
        <v>405</v>
      </c>
      <c r="C258" s="4" t="s">
        <v>7</v>
      </c>
      <c r="D258" s="5" t="d">
        <v>1957-07-05</v>
      </c>
      <c r="E258" s="17">
        <f>2024-1957</f>
        <v>67</v>
      </c>
      <c r="F258" s="6">
        <v>8000026</v>
      </c>
      <c r="G258" s="40" t="s">
        <v>962</v>
      </c>
      <c r="H258" s="39" t="s">
        <v>960</v>
      </c>
      <c r="I258" s="17" t="s">
        <v>4</v>
      </c>
      <c r="J258" s="17" t="s">
        <v>5</v>
      </c>
      <c r="K258" s="27"/>
      <c r="L258" s="27"/>
      <c r="M258" s="27"/>
    </row>
    <row r="259" spans="1:13" ht="17.25" customHeight="1" x14ac:dyDescent="0.25">
      <c r="A259" s="1" t="s">
        <v>406</v>
      </c>
      <c r="B259" s="22" t="s">
        <v>407</v>
      </c>
      <c r="C259" s="22" t="s">
        <v>2</v>
      </c>
      <c r="D259" s="2" t="d">
        <v>1953-07-28</v>
      </c>
      <c r="E259" s="1">
        <f>2024-1953</f>
        <v>71</v>
      </c>
      <c r="F259" s="3">
        <v>3941089</v>
      </c>
      <c r="G259" s="23" t="s">
        <v>3</v>
      </c>
      <c r="H259" s="23" t="s">
        <v>3</v>
      </c>
      <c r="I259" s="22" t="s">
        <v>31</v>
      </c>
      <c r="J259" s="23" t="s">
        <v>5</v>
      </c>
      <c r="K259" s="27"/>
      <c r="L259" s="27"/>
      <c r="M259" s="27"/>
    </row>
    <row r="260" spans="1:13" ht="17.25" customHeight="1" x14ac:dyDescent="0.25">
      <c r="A260" s="4" t="s">
        <v>408</v>
      </c>
      <c r="B260" s="17" t="s">
        <v>387</v>
      </c>
      <c r="C260" s="4" t="s">
        <v>7</v>
      </c>
      <c r="D260" s="5" t="d">
        <v>1952-01-04</v>
      </c>
      <c r="E260" s="17">
        <f>2025-1952</f>
        <v>73</v>
      </c>
      <c r="F260" s="6">
        <v>4468880</v>
      </c>
      <c r="G260" s="40" t="s">
        <v>962</v>
      </c>
      <c r="H260" s="39" t="s">
        <v>960</v>
      </c>
      <c r="I260" s="17" t="s">
        <v>31</v>
      </c>
      <c r="J260" s="17" t="s">
        <v>5</v>
      </c>
      <c r="K260" s="27"/>
      <c r="L260" s="27"/>
      <c r="M260" s="27"/>
    </row>
    <row r="261" spans="1:13" ht="19.5" customHeight="1" x14ac:dyDescent="0.25">
      <c r="A261" s="4" t="s">
        <v>409</v>
      </c>
      <c r="B261" s="17" t="s">
        <v>410</v>
      </c>
      <c r="C261" s="4" t="s">
        <v>7</v>
      </c>
      <c r="D261" s="5" t="d">
        <v>2013-03-22</v>
      </c>
      <c r="E261" s="17">
        <f>2024-2013</f>
        <v>11</v>
      </c>
      <c r="F261" s="6">
        <v>34829015</v>
      </c>
      <c r="G261" s="40" t="s">
        <v>962</v>
      </c>
      <c r="H261" s="4" t="s">
        <v>15</v>
      </c>
      <c r="I261" s="17" t="s">
        <v>4</v>
      </c>
      <c r="J261" s="17" t="s">
        <v>5</v>
      </c>
      <c r="K261" s="27"/>
      <c r="L261" s="27"/>
      <c r="M261" s="27"/>
    </row>
    <row r="262" spans="1:13" ht="18.75" customHeight="1" x14ac:dyDescent="0.25">
      <c r="A262" s="4" t="s">
        <v>411</v>
      </c>
      <c r="B262" s="17" t="s">
        <v>412</v>
      </c>
      <c r="C262" s="4" t="s">
        <v>7</v>
      </c>
      <c r="D262" s="5" t="d">
        <v>2014-03-17</v>
      </c>
      <c r="E262" s="17">
        <f>2024-2014</f>
        <v>10</v>
      </c>
      <c r="F262" s="6">
        <v>36205018</v>
      </c>
      <c r="G262" s="40" t="s">
        <v>962</v>
      </c>
      <c r="H262" s="4" t="s">
        <v>15</v>
      </c>
      <c r="I262" s="17" t="s">
        <v>4</v>
      </c>
      <c r="J262" s="17" t="s">
        <v>5</v>
      </c>
      <c r="K262" s="27"/>
      <c r="L262" s="27"/>
      <c r="M262" s="27"/>
    </row>
    <row r="263" spans="1:13" ht="15.75" customHeight="1" x14ac:dyDescent="0.25">
      <c r="A263" s="4" t="s">
        <v>413</v>
      </c>
      <c r="B263" s="17" t="s">
        <v>414</v>
      </c>
      <c r="C263" s="4" t="s">
        <v>7</v>
      </c>
      <c r="D263" s="5" t="d">
        <v>2016-09-15</v>
      </c>
      <c r="E263" s="17">
        <f>2024-2016</f>
        <v>8</v>
      </c>
      <c r="F263" s="6" t="s">
        <v>813</v>
      </c>
      <c r="G263" s="40" t="s">
        <v>962</v>
      </c>
      <c r="H263" s="4" t="s">
        <v>15</v>
      </c>
      <c r="I263" s="17" t="s">
        <v>4</v>
      </c>
      <c r="J263" s="17" t="s">
        <v>5</v>
      </c>
      <c r="K263" s="27"/>
      <c r="L263" s="27"/>
      <c r="M263" s="27"/>
    </row>
    <row r="264" spans="1:13" ht="18" customHeight="1" x14ac:dyDescent="0.25">
      <c r="A264" s="4" t="s">
        <v>415</v>
      </c>
      <c r="B264" s="17" t="s">
        <v>416</v>
      </c>
      <c r="C264" s="4" t="s">
        <v>2</v>
      </c>
      <c r="D264" s="5" t="d">
        <v>2012-12-15</v>
      </c>
      <c r="E264" s="17">
        <f>2024-2012</f>
        <v>12</v>
      </c>
      <c r="F264" s="6">
        <v>34539246</v>
      </c>
      <c r="G264" s="40" t="s">
        <v>962</v>
      </c>
      <c r="H264" s="4" t="s">
        <v>17</v>
      </c>
      <c r="I264" s="17" t="s">
        <v>4</v>
      </c>
      <c r="J264" s="17" t="s">
        <v>5</v>
      </c>
      <c r="K264" s="27"/>
      <c r="L264" s="27"/>
      <c r="M264" s="27"/>
    </row>
    <row r="265" spans="1:13" ht="16.5" customHeight="1" x14ac:dyDescent="0.25">
      <c r="A265" s="1" t="s">
        <v>253</v>
      </c>
      <c r="B265" s="22" t="s">
        <v>254</v>
      </c>
      <c r="C265" s="22" t="s">
        <v>2</v>
      </c>
      <c r="D265" s="2" t="d">
        <v>1979-07-12</v>
      </c>
      <c r="E265" s="1">
        <f>2024-1979</f>
        <v>45</v>
      </c>
      <c r="F265" s="3">
        <v>14530328</v>
      </c>
      <c r="G265" s="23" t="s">
        <v>3</v>
      </c>
      <c r="H265" s="23" t="s">
        <v>3</v>
      </c>
      <c r="I265" s="22" t="s">
        <v>4</v>
      </c>
      <c r="J265" s="23" t="s">
        <v>5</v>
      </c>
      <c r="K265" s="27"/>
      <c r="L265" s="27"/>
      <c r="M265" s="27"/>
    </row>
    <row r="266" spans="1:13" ht="17.25" customHeight="1" x14ac:dyDescent="0.25">
      <c r="A266" s="4" t="s">
        <v>255</v>
      </c>
      <c r="B266" s="17" t="s">
        <v>256</v>
      </c>
      <c r="C266" s="4" t="s">
        <v>7</v>
      </c>
      <c r="D266" s="5" t="d">
        <v>1978-09-16</v>
      </c>
      <c r="E266" s="17">
        <f>2024-1978</f>
        <v>46</v>
      </c>
      <c r="F266" s="6">
        <v>13447492</v>
      </c>
      <c r="G266" s="40" t="s">
        <v>962</v>
      </c>
      <c r="H266" s="39" t="s">
        <v>960</v>
      </c>
      <c r="I266" s="17" t="s">
        <v>4</v>
      </c>
      <c r="J266" s="17" t="s">
        <v>5</v>
      </c>
      <c r="K266" s="27"/>
      <c r="L266" s="27"/>
      <c r="M266" s="27"/>
    </row>
    <row r="267" spans="1:13" ht="19.5" customHeight="1" x14ac:dyDescent="0.25">
      <c r="A267" s="4" t="s">
        <v>257</v>
      </c>
      <c r="B267" s="17" t="s">
        <v>258</v>
      </c>
      <c r="C267" s="4" t="s">
        <v>2</v>
      </c>
      <c r="D267" s="5" t="d">
        <v>2011-08-21</v>
      </c>
      <c r="E267" s="17">
        <f>2024-2011</f>
        <v>13</v>
      </c>
      <c r="F267" s="6">
        <v>33938646</v>
      </c>
      <c r="G267" s="40" t="s">
        <v>962</v>
      </c>
      <c r="H267" s="4" t="s">
        <v>6</v>
      </c>
      <c r="I267" s="17" t="s">
        <v>4</v>
      </c>
      <c r="J267" s="17" t="s">
        <v>5</v>
      </c>
      <c r="K267" s="27"/>
      <c r="L267" s="27"/>
      <c r="M267" s="27"/>
    </row>
    <row r="268" spans="1:13" ht="16.5" customHeight="1" x14ac:dyDescent="0.25">
      <c r="A268" s="4" t="s">
        <v>259</v>
      </c>
      <c r="B268" s="17" t="s">
        <v>260</v>
      </c>
      <c r="C268" s="4" t="s">
        <v>7</v>
      </c>
      <c r="D268" s="5" t="d">
        <v>2020-05-20</v>
      </c>
      <c r="E268" s="17">
        <f>2024-2020</f>
        <v>4</v>
      </c>
      <c r="F268" s="6" t="s">
        <v>798</v>
      </c>
      <c r="G268" s="40" t="s">
        <v>962</v>
      </c>
      <c r="H268" s="4" t="s">
        <v>9</v>
      </c>
      <c r="I268" s="17" t="s">
        <v>4</v>
      </c>
      <c r="J268" s="17" t="s">
        <v>5</v>
      </c>
      <c r="K268" s="27"/>
      <c r="L268" s="27"/>
      <c r="M268" s="27"/>
    </row>
    <row r="269" spans="1:13" ht="16.5" customHeight="1" x14ac:dyDescent="0.25">
      <c r="A269" s="1" t="s">
        <v>384</v>
      </c>
      <c r="B269" s="22" t="s">
        <v>385</v>
      </c>
      <c r="C269" s="1" t="s">
        <v>2</v>
      </c>
      <c r="D269" s="2" t="d">
        <v>1960-04-05</v>
      </c>
      <c r="E269" s="22">
        <f>2024-1960</f>
        <v>64</v>
      </c>
      <c r="F269" s="3">
        <v>9023776</v>
      </c>
      <c r="G269" s="23" t="s">
        <v>3</v>
      </c>
      <c r="H269" s="23" t="s">
        <v>3</v>
      </c>
      <c r="I269" s="22" t="s">
        <v>31</v>
      </c>
      <c r="J269" s="23" t="s">
        <v>5</v>
      </c>
      <c r="K269" s="27"/>
      <c r="L269" s="27"/>
      <c r="M269" s="27"/>
    </row>
    <row r="270" spans="1:13" ht="18.75" customHeight="1" x14ac:dyDescent="0.25">
      <c r="A270" s="4" t="s">
        <v>386</v>
      </c>
      <c r="B270" s="17" t="s">
        <v>387</v>
      </c>
      <c r="C270" s="4" t="s">
        <v>7</v>
      </c>
      <c r="D270" s="5" t="d">
        <v>1959-02-06</v>
      </c>
      <c r="E270" s="17">
        <f>2025-1959</f>
        <v>66</v>
      </c>
      <c r="F270" s="6">
        <v>8029699</v>
      </c>
      <c r="G270" s="40" t="s">
        <v>962</v>
      </c>
      <c r="H270" s="39" t="s">
        <v>960</v>
      </c>
      <c r="I270" s="17" t="s">
        <v>31</v>
      </c>
      <c r="J270" s="17" t="s">
        <v>5</v>
      </c>
      <c r="K270" s="27"/>
      <c r="L270" s="27"/>
      <c r="M270" s="27"/>
    </row>
    <row r="271" spans="1:13" ht="17.25" customHeight="1" x14ac:dyDescent="0.25">
      <c r="A271" s="4" t="s">
        <v>388</v>
      </c>
      <c r="B271" s="17" t="s">
        <v>389</v>
      </c>
      <c r="C271" s="4" t="s">
        <v>7</v>
      </c>
      <c r="D271" s="5" t="d">
        <v>2000-08-10</v>
      </c>
      <c r="E271" s="17">
        <f>2024-2000</f>
        <v>24</v>
      </c>
      <c r="F271" s="6">
        <v>27781302</v>
      </c>
      <c r="G271" s="40" t="s">
        <v>962</v>
      </c>
      <c r="H271" s="4" t="s">
        <v>9</v>
      </c>
      <c r="I271" s="17" t="s">
        <v>4</v>
      </c>
      <c r="J271" s="17" t="s">
        <v>5</v>
      </c>
      <c r="K271" s="27"/>
      <c r="L271" s="27"/>
      <c r="M271" s="27"/>
    </row>
    <row r="272" spans="1:13" ht="16.5" customHeight="1" x14ac:dyDescent="0.25">
      <c r="A272" s="4" t="s">
        <v>390</v>
      </c>
      <c r="B272" s="17" t="s">
        <v>391</v>
      </c>
      <c r="C272" s="4" t="s">
        <v>7</v>
      </c>
      <c r="D272" s="5" t="d">
        <v>2013-07-10</v>
      </c>
      <c r="E272" s="17">
        <f>2024-2013</f>
        <v>11</v>
      </c>
      <c r="F272" s="6" t="s">
        <v>811</v>
      </c>
      <c r="G272" s="40" t="s">
        <v>962</v>
      </c>
      <c r="H272" s="4" t="s">
        <v>15</v>
      </c>
      <c r="I272" s="17" t="s">
        <v>4</v>
      </c>
      <c r="J272" s="17" t="s">
        <v>5</v>
      </c>
      <c r="K272" s="27"/>
      <c r="L272" s="27"/>
      <c r="M272" s="27"/>
    </row>
    <row r="273" spans="1:13" ht="18.75" customHeight="1" x14ac:dyDescent="0.25">
      <c r="A273" s="4" t="s">
        <v>392</v>
      </c>
      <c r="B273" s="17" t="s">
        <v>393</v>
      </c>
      <c r="C273" s="4" t="s">
        <v>2</v>
      </c>
      <c r="D273" s="5" t="d">
        <v>2006-07-13</v>
      </c>
      <c r="E273" s="17">
        <f>2024-2006</f>
        <v>18</v>
      </c>
      <c r="F273" s="6">
        <v>30963441</v>
      </c>
      <c r="G273" s="40" t="s">
        <v>962</v>
      </c>
      <c r="H273" s="4" t="s">
        <v>17</v>
      </c>
      <c r="I273" s="17" t="s">
        <v>4</v>
      </c>
      <c r="J273" s="17" t="s">
        <v>5</v>
      </c>
      <c r="K273" s="27"/>
      <c r="L273" s="27"/>
      <c r="M273" s="27"/>
    </row>
    <row r="274" spans="1:13" x14ac:dyDescent="0.25">
      <c r="A274" s="4" t="s">
        <v>394</v>
      </c>
      <c r="B274" s="17" t="s">
        <v>395</v>
      </c>
      <c r="C274" s="4" t="s">
        <v>2</v>
      </c>
      <c r="D274" s="5" t="d">
        <v>2016-10-16</v>
      </c>
      <c r="E274" s="17">
        <f>2024-2016</f>
        <v>8</v>
      </c>
      <c r="F274" s="6" t="s">
        <v>812</v>
      </c>
      <c r="G274" s="40" t="s">
        <v>962</v>
      </c>
      <c r="H274" s="4" t="s">
        <v>17</v>
      </c>
      <c r="I274" s="17" t="s">
        <v>4</v>
      </c>
      <c r="J274" s="17" t="s">
        <v>5</v>
      </c>
      <c r="K274" s="27"/>
      <c r="L274" s="27"/>
      <c r="M274" s="27"/>
    </row>
    <row r="275" spans="1:13" x14ac:dyDescent="0.25">
      <c r="A275" s="22" t="s">
        <v>742</v>
      </c>
      <c r="B275" s="22" t="s">
        <v>743</v>
      </c>
      <c r="C275" s="22" t="s">
        <v>2</v>
      </c>
      <c r="D275" s="28" t="d">
        <v>1978-09-12</v>
      </c>
      <c r="E275" s="22">
        <f>2024-1978</f>
        <v>46</v>
      </c>
      <c r="F275" s="7">
        <v>15174353</v>
      </c>
      <c r="G275" s="22" t="s">
        <v>3</v>
      </c>
      <c r="H275" s="22" t="s">
        <v>3</v>
      </c>
      <c r="I275" s="22" t="s">
        <v>4</v>
      </c>
      <c r="J275" s="22" t="s">
        <v>5</v>
      </c>
      <c r="K275" s="27"/>
      <c r="L275" s="27"/>
      <c r="M275" s="27"/>
    </row>
    <row r="276" spans="1:13" x14ac:dyDescent="0.25">
      <c r="A276" s="17" t="s">
        <v>744</v>
      </c>
      <c r="B276" s="17" t="s">
        <v>745</v>
      </c>
      <c r="C276" s="17" t="s">
        <v>2</v>
      </c>
      <c r="D276" s="32" t="d">
        <v>1956-06-12</v>
      </c>
      <c r="E276" s="17">
        <f>2024-1956</f>
        <v>68</v>
      </c>
      <c r="F276" s="8">
        <v>5200781</v>
      </c>
      <c r="G276" s="40" t="s">
        <v>962</v>
      </c>
      <c r="H276" s="17" t="s">
        <v>8</v>
      </c>
      <c r="I276" s="17" t="s">
        <v>4</v>
      </c>
      <c r="J276" s="17" t="s">
        <v>5</v>
      </c>
      <c r="K276" s="27"/>
      <c r="L276" s="27"/>
      <c r="M276" s="27"/>
    </row>
    <row r="277" spans="1:13" x14ac:dyDescent="0.25">
      <c r="A277" s="17" t="s">
        <v>746</v>
      </c>
      <c r="B277" s="17" t="s">
        <v>747</v>
      </c>
      <c r="C277" s="17" t="s">
        <v>7</v>
      </c>
      <c r="D277" s="32" t="d">
        <v>1975-01-21</v>
      </c>
      <c r="E277" s="17">
        <f>2025-1975</f>
        <v>50</v>
      </c>
      <c r="F277" s="8">
        <v>15296999</v>
      </c>
      <c r="G277" s="40" t="s">
        <v>962</v>
      </c>
      <c r="H277" s="39" t="s">
        <v>960</v>
      </c>
      <c r="I277" s="17" t="s">
        <v>4</v>
      </c>
      <c r="J277" s="17" t="s">
        <v>5</v>
      </c>
      <c r="K277" s="27"/>
      <c r="L277" s="27"/>
      <c r="M277" s="27"/>
    </row>
    <row r="278" spans="1:13" x14ac:dyDescent="0.25">
      <c r="A278" s="17" t="s">
        <v>748</v>
      </c>
      <c r="B278" s="17" t="s">
        <v>749</v>
      </c>
      <c r="C278" s="17" t="s">
        <v>2</v>
      </c>
      <c r="D278" s="32" t="d">
        <v>2002-03-26</v>
      </c>
      <c r="E278" s="17">
        <f>2024-2002</f>
        <v>22</v>
      </c>
      <c r="F278" s="8">
        <v>28202836</v>
      </c>
      <c r="G278" s="40" t="s">
        <v>962</v>
      </c>
      <c r="H278" s="17" t="s">
        <v>6</v>
      </c>
      <c r="I278" s="17" t="s">
        <v>4</v>
      </c>
      <c r="J278" s="17" t="s">
        <v>5</v>
      </c>
      <c r="K278" s="27"/>
      <c r="L278" s="27"/>
      <c r="M278" s="27"/>
    </row>
    <row r="279" spans="1:13" x14ac:dyDescent="0.25">
      <c r="A279" s="17" t="s">
        <v>750</v>
      </c>
      <c r="B279" s="17" t="s">
        <v>751</v>
      </c>
      <c r="C279" s="17" t="s">
        <v>7</v>
      </c>
      <c r="D279" s="32" t="d">
        <v>2024-07-21</v>
      </c>
      <c r="E279" s="17">
        <f>2024-2014</f>
        <v>10</v>
      </c>
      <c r="F279" s="8">
        <v>36213258</v>
      </c>
      <c r="G279" s="40" t="s">
        <v>962</v>
      </c>
      <c r="H279" s="17" t="s">
        <v>9</v>
      </c>
      <c r="I279" s="17" t="s">
        <v>4</v>
      </c>
      <c r="J279" s="17" t="s">
        <v>5</v>
      </c>
      <c r="K279" s="27"/>
      <c r="L279" s="27"/>
      <c r="M279" s="27"/>
    </row>
    <row r="280" spans="1:13" x14ac:dyDescent="0.25">
      <c r="A280" s="17" t="s">
        <v>750</v>
      </c>
      <c r="B280" s="17" t="s">
        <v>752</v>
      </c>
      <c r="C280" s="17" t="s">
        <v>7</v>
      </c>
      <c r="D280" s="32" t="d">
        <v>2024-07-15</v>
      </c>
      <c r="E280" s="17">
        <v>1</v>
      </c>
      <c r="F280" s="8" t="s">
        <v>854</v>
      </c>
      <c r="G280" s="40" t="s">
        <v>962</v>
      </c>
      <c r="H280" s="17" t="s">
        <v>9</v>
      </c>
      <c r="I280" s="17" t="s">
        <v>4</v>
      </c>
      <c r="J280" s="17" t="s">
        <v>5</v>
      </c>
      <c r="K280" s="27"/>
      <c r="L280" s="27"/>
      <c r="M280" s="27"/>
    </row>
    <row r="281" spans="1:13" ht="23.25" customHeight="1" x14ac:dyDescent="0.25">
      <c r="A281" s="1" t="s">
        <v>86</v>
      </c>
      <c r="B281" s="22" t="s">
        <v>87</v>
      </c>
      <c r="C281" s="22" t="s">
        <v>2</v>
      </c>
      <c r="D281" s="24" t="d">
        <v>1951-10-12</v>
      </c>
      <c r="E281" s="22">
        <f>2024-1951</f>
        <v>73</v>
      </c>
      <c r="F281" s="3">
        <v>5205278</v>
      </c>
      <c r="G281" s="23" t="s">
        <v>3</v>
      </c>
      <c r="H281" s="23" t="s">
        <v>3</v>
      </c>
      <c r="I281" s="22" t="s">
        <v>31</v>
      </c>
      <c r="J281" s="23" t="s">
        <v>5</v>
      </c>
      <c r="K281" s="27"/>
      <c r="L281" s="27"/>
      <c r="M281" s="27"/>
    </row>
    <row r="282" spans="1:13" ht="22.5" customHeight="1" x14ac:dyDescent="0.25">
      <c r="A282" s="4" t="s">
        <v>88</v>
      </c>
      <c r="B282" s="17" t="s">
        <v>89</v>
      </c>
      <c r="C282" s="4" t="s">
        <v>7</v>
      </c>
      <c r="D282" s="5" t="d">
        <v>1956-08-18</v>
      </c>
      <c r="E282" s="17">
        <f>2024-1956</f>
        <v>68</v>
      </c>
      <c r="F282" s="6">
        <v>8077806</v>
      </c>
      <c r="G282" s="40" t="s">
        <v>962</v>
      </c>
      <c r="H282" s="39" t="s">
        <v>960</v>
      </c>
      <c r="I282" s="17" t="s">
        <v>31</v>
      </c>
      <c r="J282" s="17" t="s">
        <v>5</v>
      </c>
      <c r="K282" s="27"/>
      <c r="L282" s="27"/>
      <c r="M282" s="27"/>
    </row>
    <row r="283" spans="1:13" ht="15.75" customHeight="1" x14ac:dyDescent="0.25">
      <c r="A283" s="4" t="s">
        <v>90</v>
      </c>
      <c r="B283" s="17" t="s">
        <v>91</v>
      </c>
      <c r="C283" s="4" t="s">
        <v>7</v>
      </c>
      <c r="D283" s="5" t="d">
        <v>2015-06-09</v>
      </c>
      <c r="E283" s="17">
        <f>2024-2015</f>
        <v>9</v>
      </c>
      <c r="F283" s="6">
        <v>36586428</v>
      </c>
      <c r="G283" s="40" t="s">
        <v>962</v>
      </c>
      <c r="H283" s="4" t="s">
        <v>15</v>
      </c>
      <c r="I283" s="17" t="s">
        <v>4</v>
      </c>
      <c r="J283" s="17" t="s">
        <v>5</v>
      </c>
      <c r="K283" s="27"/>
      <c r="L283" s="27"/>
      <c r="M283" s="27"/>
    </row>
    <row r="284" spans="1:13" ht="14.25" customHeight="1" x14ac:dyDescent="0.25">
      <c r="A284" s="4" t="s">
        <v>92</v>
      </c>
      <c r="B284" s="17" t="s">
        <v>93</v>
      </c>
      <c r="C284" s="4" t="s">
        <v>7</v>
      </c>
      <c r="D284" s="5" t="d">
        <v>2017-08-21</v>
      </c>
      <c r="E284" s="17">
        <f>2024-2017</f>
        <v>7</v>
      </c>
      <c r="F284" s="6" t="s">
        <v>774</v>
      </c>
      <c r="G284" s="40" t="s">
        <v>962</v>
      </c>
      <c r="H284" s="4" t="s">
        <v>15</v>
      </c>
      <c r="I284" s="17" t="s">
        <v>4</v>
      </c>
      <c r="J284" s="17" t="s">
        <v>5</v>
      </c>
      <c r="K284" s="27"/>
      <c r="L284" s="27"/>
      <c r="M284" s="27"/>
    </row>
    <row r="285" spans="1:13" ht="18" customHeight="1" x14ac:dyDescent="0.25">
      <c r="A285" s="4" t="s">
        <v>94</v>
      </c>
      <c r="B285" s="17" t="s">
        <v>95</v>
      </c>
      <c r="C285" s="4" t="s">
        <v>7</v>
      </c>
      <c r="D285" s="5" t="d">
        <v>2021-11-07</v>
      </c>
      <c r="E285" s="17">
        <f>2024-2021</f>
        <v>3</v>
      </c>
      <c r="F285" s="6" t="s">
        <v>775</v>
      </c>
      <c r="G285" s="40" t="s">
        <v>962</v>
      </c>
      <c r="H285" s="4" t="s">
        <v>15</v>
      </c>
      <c r="I285" s="17" t="s">
        <v>4</v>
      </c>
      <c r="J285" s="17" t="s">
        <v>5</v>
      </c>
      <c r="K285" s="27"/>
      <c r="L285" s="27"/>
      <c r="M285" s="27"/>
    </row>
    <row r="286" spans="1:13" ht="15" customHeight="1" x14ac:dyDescent="0.25">
      <c r="A286" s="1" t="s">
        <v>362</v>
      </c>
      <c r="B286" s="22" t="s">
        <v>363</v>
      </c>
      <c r="C286" s="22" t="s">
        <v>2</v>
      </c>
      <c r="D286" s="2" t="d">
        <v>1954-04-27</v>
      </c>
      <c r="E286" s="1">
        <f>2024-1954</f>
        <v>70</v>
      </c>
      <c r="F286" s="3">
        <v>5511778</v>
      </c>
      <c r="G286" s="23" t="s">
        <v>3</v>
      </c>
      <c r="H286" s="23" t="s">
        <v>3</v>
      </c>
      <c r="I286" s="22" t="s">
        <v>4</v>
      </c>
      <c r="J286" s="23" t="s">
        <v>5</v>
      </c>
      <c r="K286" s="27"/>
      <c r="L286" s="27"/>
      <c r="M286" s="27"/>
    </row>
    <row r="287" spans="1:13" x14ac:dyDescent="0.25">
      <c r="A287" s="4" t="s">
        <v>364</v>
      </c>
      <c r="B287" s="17" t="s">
        <v>365</v>
      </c>
      <c r="C287" s="4" t="s">
        <v>2</v>
      </c>
      <c r="D287" s="5" t="d">
        <v>2006-01-07</v>
      </c>
      <c r="E287" s="17">
        <f>2025-2006</f>
        <v>19</v>
      </c>
      <c r="F287" s="6">
        <v>31328997</v>
      </c>
      <c r="G287" s="40" t="s">
        <v>962</v>
      </c>
      <c r="H287" s="4" t="s">
        <v>17</v>
      </c>
      <c r="I287" s="17" t="s">
        <v>4</v>
      </c>
      <c r="J287" s="17" t="s">
        <v>5</v>
      </c>
      <c r="K287" s="27"/>
      <c r="L287" s="27"/>
      <c r="M287" s="27"/>
    </row>
    <row r="288" spans="1:13" x14ac:dyDescent="0.25">
      <c r="A288" s="4" t="s">
        <v>366</v>
      </c>
      <c r="B288" s="17" t="s">
        <v>367</v>
      </c>
      <c r="C288" s="4" t="s">
        <v>2</v>
      </c>
      <c r="D288" s="5" t="d">
        <v>2005-09-18</v>
      </c>
      <c r="E288" s="17">
        <f>2024-2005</f>
        <v>19</v>
      </c>
      <c r="F288" s="6">
        <v>31622318</v>
      </c>
      <c r="G288" s="40" t="s">
        <v>962</v>
      </c>
      <c r="H288" s="4" t="s">
        <v>17</v>
      </c>
      <c r="I288" s="17" t="s">
        <v>4</v>
      </c>
      <c r="J288" s="17" t="s">
        <v>5</v>
      </c>
      <c r="K288" s="27"/>
      <c r="L288" s="27"/>
      <c r="M288" s="27"/>
    </row>
    <row r="289" spans="1:13" ht="13.5" customHeight="1" x14ac:dyDescent="0.25">
      <c r="A289" s="4" t="s">
        <v>368</v>
      </c>
      <c r="B289" s="17" t="s">
        <v>369</v>
      </c>
      <c r="C289" s="4" t="s">
        <v>2</v>
      </c>
      <c r="D289" s="5" t="d">
        <v>2010-12-06</v>
      </c>
      <c r="E289" s="17">
        <f>2024-2010</f>
        <v>14</v>
      </c>
      <c r="F289" s="6">
        <v>34780047</v>
      </c>
      <c r="G289" s="40" t="s">
        <v>962</v>
      </c>
      <c r="H289" s="4" t="s">
        <v>17</v>
      </c>
      <c r="I289" s="17" t="s">
        <v>4</v>
      </c>
      <c r="J289" s="17" t="s">
        <v>5</v>
      </c>
      <c r="K289" s="27"/>
      <c r="L289" s="27"/>
      <c r="M289" s="27"/>
    </row>
    <row r="290" spans="1:13" x14ac:dyDescent="0.25">
      <c r="A290" s="4" t="s">
        <v>364</v>
      </c>
      <c r="B290" s="17" t="s">
        <v>370</v>
      </c>
      <c r="C290" s="4" t="s">
        <v>2</v>
      </c>
      <c r="D290" s="5" t="d">
        <v>2003-07-11</v>
      </c>
      <c r="E290" s="17">
        <f>2024-2003</f>
        <v>21</v>
      </c>
      <c r="F290" s="6">
        <v>31310867</v>
      </c>
      <c r="G290" s="40" t="s">
        <v>962</v>
      </c>
      <c r="H290" s="4" t="s">
        <v>17</v>
      </c>
      <c r="I290" s="17" t="s">
        <v>4</v>
      </c>
      <c r="J290" s="17" t="s">
        <v>5</v>
      </c>
      <c r="K290" s="27"/>
      <c r="L290" s="27"/>
      <c r="M290" s="27"/>
    </row>
    <row r="291" spans="1:13" x14ac:dyDescent="0.25">
      <c r="A291" s="4" t="s">
        <v>364</v>
      </c>
      <c r="B291" s="17" t="s">
        <v>371</v>
      </c>
      <c r="C291" s="4" t="s">
        <v>7</v>
      </c>
      <c r="D291" s="5" t="d">
        <v>2014-03-25</v>
      </c>
      <c r="E291" s="17">
        <f>2024-2014</f>
        <v>10</v>
      </c>
      <c r="F291" s="6" t="s">
        <v>810</v>
      </c>
      <c r="G291" s="40" t="s">
        <v>962</v>
      </c>
      <c r="H291" s="4" t="s">
        <v>15</v>
      </c>
      <c r="I291" s="17" t="s">
        <v>4</v>
      </c>
      <c r="J291" s="17" t="s">
        <v>5</v>
      </c>
      <c r="K291" s="27"/>
      <c r="L291" s="27"/>
      <c r="M291" s="27"/>
    </row>
    <row r="292" spans="1:13" ht="14.25" customHeight="1" x14ac:dyDescent="0.25">
      <c r="A292" s="1" t="s">
        <v>162</v>
      </c>
      <c r="B292" s="22" t="s">
        <v>163</v>
      </c>
      <c r="C292" s="22" t="s">
        <v>2</v>
      </c>
      <c r="D292" s="2" t="d">
        <v>1976-03-29</v>
      </c>
      <c r="E292" s="1">
        <f>2024-1976</f>
        <v>48</v>
      </c>
      <c r="F292" s="3">
        <v>12353715</v>
      </c>
      <c r="G292" s="23" t="s">
        <v>3</v>
      </c>
      <c r="H292" s="23" t="s">
        <v>3</v>
      </c>
      <c r="I292" s="22" t="s">
        <v>30</v>
      </c>
      <c r="J292" s="23" t="s">
        <v>5</v>
      </c>
      <c r="K292" s="27"/>
      <c r="L292" s="27"/>
      <c r="M292" s="27"/>
    </row>
    <row r="293" spans="1:13" ht="12.75" customHeight="1" x14ac:dyDescent="0.25">
      <c r="A293" s="4" t="s">
        <v>346</v>
      </c>
      <c r="B293" s="17" t="s">
        <v>347</v>
      </c>
      <c r="C293" s="4" t="s">
        <v>7</v>
      </c>
      <c r="D293" s="5" t="d">
        <v>1981-12-04</v>
      </c>
      <c r="E293" s="17">
        <f>2024-1981</f>
        <v>43</v>
      </c>
      <c r="F293" s="6">
        <v>14917180</v>
      </c>
      <c r="G293" s="40" t="s">
        <v>962</v>
      </c>
      <c r="H293" s="39" t="s">
        <v>960</v>
      </c>
      <c r="I293" s="17" t="s">
        <v>4</v>
      </c>
      <c r="J293" s="17" t="s">
        <v>5</v>
      </c>
      <c r="K293" s="27"/>
      <c r="L293" s="27"/>
      <c r="M293" s="27"/>
    </row>
    <row r="294" spans="1:13" ht="14.25" customHeight="1" x14ac:dyDescent="0.25">
      <c r="A294" s="4" t="s">
        <v>348</v>
      </c>
      <c r="B294" s="17" t="s">
        <v>349</v>
      </c>
      <c r="C294" s="4" t="s">
        <v>7</v>
      </c>
      <c r="D294" s="5" t="d">
        <v>2003-10-31</v>
      </c>
      <c r="E294" s="17">
        <f>2024-2003</f>
        <v>21</v>
      </c>
      <c r="F294" s="6">
        <v>30034897</v>
      </c>
      <c r="G294" s="40" t="s">
        <v>962</v>
      </c>
      <c r="H294" s="4" t="s">
        <v>9</v>
      </c>
      <c r="I294" s="17" t="s">
        <v>4</v>
      </c>
      <c r="J294" s="17" t="s">
        <v>5</v>
      </c>
      <c r="K294" s="27"/>
      <c r="L294" s="27"/>
      <c r="M294" s="27"/>
    </row>
    <row r="295" spans="1:13" ht="15" customHeight="1" x14ac:dyDescent="0.25">
      <c r="A295" s="4" t="s">
        <v>350</v>
      </c>
      <c r="B295" s="17" t="s">
        <v>351</v>
      </c>
      <c r="C295" s="4" t="s">
        <v>2</v>
      </c>
      <c r="D295" s="5" t="d">
        <v>1955-09-12</v>
      </c>
      <c r="E295" s="17">
        <f>2024-1955</f>
        <v>69</v>
      </c>
      <c r="F295" s="6">
        <v>5200328</v>
      </c>
      <c r="G295" s="40" t="s">
        <v>962</v>
      </c>
      <c r="H295" s="4" t="s">
        <v>8</v>
      </c>
      <c r="I295" s="17" t="s">
        <v>66</v>
      </c>
      <c r="J295" s="17" t="s">
        <v>5</v>
      </c>
      <c r="K295" s="27"/>
      <c r="L295" s="27"/>
      <c r="M295" s="27"/>
    </row>
    <row r="296" spans="1:13" ht="12" customHeight="1" x14ac:dyDescent="0.25">
      <c r="A296" s="1" t="s">
        <v>585</v>
      </c>
      <c r="B296" s="22" t="s">
        <v>586</v>
      </c>
      <c r="C296" s="1" t="s">
        <v>2</v>
      </c>
      <c r="D296" s="2" t="d">
        <v>1961-01-28</v>
      </c>
      <c r="E296" s="22">
        <f>2025-1961</f>
        <v>64</v>
      </c>
      <c r="F296" s="3">
        <v>7940181</v>
      </c>
      <c r="G296" s="23" t="s">
        <v>3</v>
      </c>
      <c r="H296" s="23" t="s">
        <v>3</v>
      </c>
      <c r="I296" s="22" t="s">
        <v>4</v>
      </c>
      <c r="J296" s="23" t="s">
        <v>5</v>
      </c>
      <c r="K296" s="27"/>
      <c r="L296" s="27"/>
      <c r="M296" s="27"/>
    </row>
    <row r="297" spans="1:13" ht="16.5" customHeight="1" x14ac:dyDescent="0.25">
      <c r="A297" s="4" t="s">
        <v>587</v>
      </c>
      <c r="B297" s="17" t="s">
        <v>588</v>
      </c>
      <c r="C297" s="4" t="s">
        <v>7</v>
      </c>
      <c r="D297" s="5" t="d">
        <v>2004-11-23</v>
      </c>
      <c r="E297" s="17">
        <f>2024-2004</f>
        <v>20</v>
      </c>
      <c r="F297" s="6">
        <v>30618514</v>
      </c>
      <c r="G297" s="40" t="s">
        <v>962</v>
      </c>
      <c r="H297" s="4" t="s">
        <v>15</v>
      </c>
      <c r="I297" s="17" t="s">
        <v>4</v>
      </c>
      <c r="J297" s="17" t="s">
        <v>5</v>
      </c>
      <c r="K297" s="27"/>
      <c r="L297" s="27"/>
      <c r="M297" s="27"/>
    </row>
    <row r="298" spans="1:13" x14ac:dyDescent="0.25">
      <c r="A298" s="4" t="s">
        <v>589</v>
      </c>
      <c r="B298" s="17" t="s">
        <v>590</v>
      </c>
      <c r="C298" s="4" t="s">
        <v>7</v>
      </c>
      <c r="D298" s="5" t="d">
        <v>2010-05-07</v>
      </c>
      <c r="E298" s="17">
        <f>2024-2010</f>
        <v>14</v>
      </c>
      <c r="F298" s="6">
        <v>33411590</v>
      </c>
      <c r="G298" s="40" t="s">
        <v>962</v>
      </c>
      <c r="H298" s="4" t="s">
        <v>15</v>
      </c>
      <c r="I298" s="17" t="s">
        <v>4</v>
      </c>
      <c r="J298" s="17" t="s">
        <v>5</v>
      </c>
      <c r="K298" s="27"/>
      <c r="L298" s="27"/>
      <c r="M298" s="27"/>
    </row>
    <row r="299" spans="1:13" ht="14.25" customHeight="1" x14ac:dyDescent="0.25">
      <c r="A299" s="4" t="s">
        <v>591</v>
      </c>
      <c r="B299" s="17" t="s">
        <v>592</v>
      </c>
      <c r="C299" s="4" t="s">
        <v>2</v>
      </c>
      <c r="D299" s="5" t="d">
        <v>2020-12-17</v>
      </c>
      <c r="E299" s="17">
        <f>2024-2020</f>
        <v>4</v>
      </c>
      <c r="F299" s="6" t="s">
        <v>833</v>
      </c>
      <c r="G299" s="40" t="s">
        <v>962</v>
      </c>
      <c r="H299" s="4" t="s">
        <v>15</v>
      </c>
      <c r="I299" s="17" t="s">
        <v>4</v>
      </c>
      <c r="J299" s="17" t="s">
        <v>5</v>
      </c>
      <c r="K299" s="27"/>
      <c r="L299" s="27"/>
      <c r="M299" s="27"/>
    </row>
    <row r="300" spans="1:13" x14ac:dyDescent="0.25">
      <c r="A300" s="22" t="s">
        <v>100</v>
      </c>
      <c r="B300" s="22" t="s">
        <v>101</v>
      </c>
      <c r="C300" s="1" t="s">
        <v>2</v>
      </c>
      <c r="D300" s="2" t="d">
        <v>1956-08-29</v>
      </c>
      <c r="E300" s="22">
        <f>2024-1956</f>
        <v>68</v>
      </c>
      <c r="F300" s="3">
        <v>5200066</v>
      </c>
      <c r="G300" s="23" t="s">
        <v>3</v>
      </c>
      <c r="H300" s="23" t="s">
        <v>3</v>
      </c>
      <c r="I300" s="22" t="s">
        <v>4</v>
      </c>
      <c r="J300" s="23" t="s">
        <v>5</v>
      </c>
      <c r="K300" s="27"/>
      <c r="L300" s="27"/>
      <c r="M300" s="27"/>
    </row>
    <row r="301" spans="1:13" ht="15" customHeight="1" x14ac:dyDescent="0.25">
      <c r="A301" s="4" t="s">
        <v>102</v>
      </c>
      <c r="B301" s="17" t="s">
        <v>103</v>
      </c>
      <c r="C301" s="4" t="s">
        <v>2</v>
      </c>
      <c r="D301" s="5" t="d">
        <v>2006-11-15</v>
      </c>
      <c r="E301" s="17">
        <f>2024-2006</f>
        <v>18</v>
      </c>
      <c r="F301" s="6">
        <v>31896172</v>
      </c>
      <c r="G301" s="40" t="s">
        <v>962</v>
      </c>
      <c r="H301" s="4" t="s">
        <v>17</v>
      </c>
      <c r="I301" s="17" t="s">
        <v>4</v>
      </c>
      <c r="J301" s="17" t="s">
        <v>5</v>
      </c>
      <c r="K301" s="27"/>
      <c r="L301" s="27"/>
      <c r="M301" s="27"/>
    </row>
    <row r="302" spans="1:13" ht="18" customHeight="1" x14ac:dyDescent="0.25">
      <c r="A302" s="4" t="s">
        <v>104</v>
      </c>
      <c r="B302" s="17" t="s">
        <v>105</v>
      </c>
      <c r="C302" s="4" t="s">
        <v>2</v>
      </c>
      <c r="D302" s="5" t="d">
        <v>2012-08-28</v>
      </c>
      <c r="E302" s="17">
        <f>2024-2012</f>
        <v>12</v>
      </c>
      <c r="F302" s="6">
        <v>34323907</v>
      </c>
      <c r="G302" s="40" t="s">
        <v>962</v>
      </c>
      <c r="H302" s="4" t="s">
        <v>17</v>
      </c>
      <c r="I302" s="17" t="s">
        <v>4</v>
      </c>
      <c r="J302" s="17" t="s">
        <v>5</v>
      </c>
      <c r="K302" s="27"/>
      <c r="L302" s="27"/>
      <c r="M302" s="27"/>
    </row>
    <row r="303" spans="1:13" ht="13.5" customHeight="1" x14ac:dyDescent="0.25">
      <c r="A303" s="1" t="s">
        <v>352</v>
      </c>
      <c r="B303" s="22" t="s">
        <v>353</v>
      </c>
      <c r="C303" s="2" t="s">
        <v>2</v>
      </c>
      <c r="D303" s="2" t="d">
        <v>1996-06-16</v>
      </c>
      <c r="E303" s="1">
        <f>2024-1996</f>
        <v>28</v>
      </c>
      <c r="F303" s="3">
        <v>25793139</v>
      </c>
      <c r="G303" s="23" t="s">
        <v>3</v>
      </c>
      <c r="H303" s="23" t="s">
        <v>3</v>
      </c>
      <c r="I303" s="22" t="s">
        <v>4</v>
      </c>
      <c r="J303" s="23" t="s">
        <v>5</v>
      </c>
      <c r="K303" s="27"/>
      <c r="L303" s="27"/>
      <c r="M303" s="27"/>
    </row>
    <row r="304" spans="1:13" x14ac:dyDescent="0.25">
      <c r="A304" s="4" t="s">
        <v>354</v>
      </c>
      <c r="B304" s="17" t="s">
        <v>355</v>
      </c>
      <c r="C304" s="4" t="s">
        <v>2</v>
      </c>
      <c r="D304" s="5" t="d">
        <v>1958-09-12</v>
      </c>
      <c r="E304" s="17">
        <f>2024-1958</f>
        <v>66</v>
      </c>
      <c r="F304" s="6">
        <v>8038439</v>
      </c>
      <c r="G304" s="40" t="s">
        <v>962</v>
      </c>
      <c r="H304" s="4" t="s">
        <v>8</v>
      </c>
      <c r="I304" s="17" t="s">
        <v>4</v>
      </c>
      <c r="J304" s="17" t="s">
        <v>5</v>
      </c>
      <c r="K304" s="27"/>
      <c r="L304" s="27"/>
      <c r="M304" s="27"/>
    </row>
    <row r="305" spans="1:13" ht="17.25" customHeight="1" x14ac:dyDescent="0.25">
      <c r="A305" s="4" t="s">
        <v>356</v>
      </c>
      <c r="B305" s="17" t="s">
        <v>357</v>
      </c>
      <c r="C305" s="4" t="s">
        <v>7</v>
      </c>
      <c r="D305" s="5" t="d">
        <v>1992-09-08</v>
      </c>
      <c r="E305" s="17">
        <f>2024-1992</f>
        <v>32</v>
      </c>
      <c r="F305" s="6">
        <v>20435044</v>
      </c>
      <c r="G305" s="40" t="s">
        <v>962</v>
      </c>
      <c r="H305" s="39" t="s">
        <v>960</v>
      </c>
      <c r="I305" s="17" t="s">
        <v>4</v>
      </c>
      <c r="J305" s="17" t="s">
        <v>5</v>
      </c>
      <c r="K305" s="27"/>
      <c r="L305" s="27"/>
      <c r="M305" s="27"/>
    </row>
    <row r="306" spans="1:13" ht="15.75" customHeight="1" x14ac:dyDescent="0.25">
      <c r="A306" s="4" t="s">
        <v>358</v>
      </c>
      <c r="B306" s="17" t="s">
        <v>359</v>
      </c>
      <c r="C306" s="4" t="s">
        <v>7</v>
      </c>
      <c r="D306" s="5" t="d">
        <v>2020-06-18</v>
      </c>
      <c r="E306" s="17">
        <f>2024-2020</f>
        <v>4</v>
      </c>
      <c r="F306" s="6" t="s">
        <v>808</v>
      </c>
      <c r="G306" s="40" t="s">
        <v>962</v>
      </c>
      <c r="H306" s="4" t="s">
        <v>9</v>
      </c>
      <c r="I306" s="17" t="s">
        <v>4</v>
      </c>
      <c r="J306" s="17" t="s">
        <v>5</v>
      </c>
      <c r="K306" s="27"/>
      <c r="L306" s="27"/>
      <c r="M306" s="27"/>
    </row>
    <row r="307" spans="1:13" ht="14.25" customHeight="1" x14ac:dyDescent="0.25">
      <c r="A307" s="4" t="s">
        <v>360</v>
      </c>
      <c r="B307" s="17" t="s">
        <v>361</v>
      </c>
      <c r="C307" s="4" t="s">
        <v>7</v>
      </c>
      <c r="D307" s="5" t="d">
        <v>2024-07-06</v>
      </c>
      <c r="E307" s="17">
        <v>1</v>
      </c>
      <c r="F307" s="6" t="s">
        <v>809</v>
      </c>
      <c r="G307" s="40" t="s">
        <v>962</v>
      </c>
      <c r="H307" s="4" t="s">
        <v>6</v>
      </c>
      <c r="I307" s="17" t="s">
        <v>4</v>
      </c>
      <c r="J307" s="17" t="s">
        <v>5</v>
      </c>
      <c r="K307" s="27"/>
      <c r="L307" s="27"/>
      <c r="M307" s="27"/>
    </row>
    <row r="308" spans="1:13" ht="15.75" customHeight="1" x14ac:dyDescent="0.25">
      <c r="A308" s="1" t="s">
        <v>305</v>
      </c>
      <c r="B308" s="22" t="s">
        <v>306</v>
      </c>
      <c r="C308" s="22" t="s">
        <v>2</v>
      </c>
      <c r="D308" s="2" t="d">
        <v>1981-08-17</v>
      </c>
      <c r="E308" s="1">
        <f>2024-1981</f>
        <v>43</v>
      </c>
      <c r="F308" s="3">
        <v>16657998</v>
      </c>
      <c r="G308" s="23" t="s">
        <v>3</v>
      </c>
      <c r="H308" s="23" t="s">
        <v>3</v>
      </c>
      <c r="I308" s="22" t="s">
        <v>4</v>
      </c>
      <c r="J308" s="23" t="s">
        <v>5</v>
      </c>
      <c r="K308" s="27"/>
      <c r="L308" s="27"/>
      <c r="M308" s="27"/>
    </row>
    <row r="309" spans="1:13" ht="14.25" customHeight="1" x14ac:dyDescent="0.25">
      <c r="A309" s="4" t="s">
        <v>330</v>
      </c>
      <c r="B309" s="17" t="s">
        <v>331</v>
      </c>
      <c r="C309" s="4" t="s">
        <v>7</v>
      </c>
      <c r="D309" s="5" t="d">
        <v>1971-11-27</v>
      </c>
      <c r="E309" s="17">
        <f>2024-1971</f>
        <v>53</v>
      </c>
      <c r="F309" s="6">
        <v>13390582</v>
      </c>
      <c r="G309" s="40" t="s">
        <v>962</v>
      </c>
      <c r="H309" s="39" t="s">
        <v>960</v>
      </c>
      <c r="I309" s="17" t="s">
        <v>4</v>
      </c>
      <c r="J309" s="17" t="s">
        <v>5</v>
      </c>
      <c r="K309" s="27"/>
      <c r="L309" s="27"/>
      <c r="M309" s="27"/>
    </row>
    <row r="310" spans="1:13" ht="12.75" customHeight="1" x14ac:dyDescent="0.25">
      <c r="A310" s="4" t="s">
        <v>332</v>
      </c>
      <c r="B310" s="17" t="s">
        <v>333</v>
      </c>
      <c r="C310" s="4" t="s">
        <v>2</v>
      </c>
      <c r="D310" s="5" t="d">
        <v>1957-05-21</v>
      </c>
      <c r="E310" s="17">
        <f>2024-1957</f>
        <v>67</v>
      </c>
      <c r="F310" s="6">
        <v>12780537</v>
      </c>
      <c r="G310" s="40" t="s">
        <v>962</v>
      </c>
      <c r="H310" s="4" t="s">
        <v>8</v>
      </c>
      <c r="I310" s="17" t="s">
        <v>31</v>
      </c>
      <c r="J310" s="17" t="s">
        <v>5</v>
      </c>
      <c r="K310" s="27"/>
      <c r="L310" s="27"/>
      <c r="M310" s="27"/>
    </row>
    <row r="311" spans="1:13" ht="16.5" customHeight="1" x14ac:dyDescent="0.25">
      <c r="A311" s="4" t="s">
        <v>334</v>
      </c>
      <c r="B311" s="17" t="s">
        <v>335</v>
      </c>
      <c r="C311" s="4" t="s">
        <v>2</v>
      </c>
      <c r="D311" s="5" t="d">
        <v>2000-09-27</v>
      </c>
      <c r="E311" s="17">
        <f>2024-2000</f>
        <v>24</v>
      </c>
      <c r="F311" s="6">
        <v>27782077</v>
      </c>
      <c r="G311" s="40" t="s">
        <v>962</v>
      </c>
      <c r="H311" s="4" t="s">
        <v>6</v>
      </c>
      <c r="I311" s="17" t="s">
        <v>4</v>
      </c>
      <c r="J311" s="17" t="s">
        <v>5</v>
      </c>
      <c r="K311" s="27"/>
      <c r="L311" s="27"/>
      <c r="M311" s="27"/>
    </row>
    <row r="312" spans="1:13" ht="16.5" customHeight="1" x14ac:dyDescent="0.25">
      <c r="A312" s="4" t="s">
        <v>336</v>
      </c>
      <c r="B312" s="17" t="s">
        <v>337</v>
      </c>
      <c r="C312" s="4" t="s">
        <v>7</v>
      </c>
      <c r="D312" s="5" t="d">
        <v>2002-03-04</v>
      </c>
      <c r="E312" s="17">
        <f>2024-2002</f>
        <v>22</v>
      </c>
      <c r="F312" s="6">
        <v>28296288</v>
      </c>
      <c r="G312" s="40" t="s">
        <v>962</v>
      </c>
      <c r="H312" s="4" t="s">
        <v>9</v>
      </c>
      <c r="I312" s="17" t="s">
        <v>4</v>
      </c>
      <c r="J312" s="17" t="s">
        <v>5</v>
      </c>
      <c r="K312" s="27"/>
      <c r="L312" s="27"/>
      <c r="M312" s="27"/>
    </row>
    <row r="313" spans="1:13" ht="16.5" customHeight="1" x14ac:dyDescent="0.25">
      <c r="A313" s="4" t="s">
        <v>336</v>
      </c>
      <c r="B313" s="17" t="s">
        <v>338</v>
      </c>
      <c r="C313" s="4" t="s">
        <v>2</v>
      </c>
      <c r="D313" s="5" t="d">
        <v>2017-03-09</v>
      </c>
      <c r="E313" s="17">
        <f>2024-2017</f>
        <v>7</v>
      </c>
      <c r="F313" s="6" t="s">
        <v>803</v>
      </c>
      <c r="G313" s="40" t="s">
        <v>962</v>
      </c>
      <c r="H313" s="4" t="s">
        <v>6</v>
      </c>
      <c r="I313" s="17" t="s">
        <v>4</v>
      </c>
      <c r="J313" s="17" t="s">
        <v>5</v>
      </c>
      <c r="K313" s="27"/>
      <c r="L313" s="27"/>
      <c r="M313" s="27"/>
    </row>
    <row r="314" spans="1:13" ht="14.25" customHeight="1" x14ac:dyDescent="0.25">
      <c r="A314" s="1" t="s">
        <v>484</v>
      </c>
      <c r="B314" s="22" t="s">
        <v>485</v>
      </c>
      <c r="C314" s="1" t="s">
        <v>7</v>
      </c>
      <c r="D314" s="2" t="d">
        <v>1975-06-15</v>
      </c>
      <c r="E314" s="22">
        <f>2024-1975</f>
        <v>49</v>
      </c>
      <c r="F314" s="3">
        <v>12351277</v>
      </c>
      <c r="G314" s="23" t="s">
        <v>3</v>
      </c>
      <c r="H314" s="23" t="s">
        <v>3</v>
      </c>
      <c r="I314" s="22" t="s">
        <v>31</v>
      </c>
      <c r="J314" s="23" t="s">
        <v>5</v>
      </c>
      <c r="K314" s="27"/>
      <c r="L314" s="27"/>
      <c r="M314" s="27"/>
    </row>
    <row r="315" spans="1:13" ht="17.25" customHeight="1" x14ac:dyDescent="0.25">
      <c r="A315" s="4" t="s">
        <v>486</v>
      </c>
      <c r="B315" s="17" t="s">
        <v>487</v>
      </c>
      <c r="C315" s="4" t="s">
        <v>2</v>
      </c>
      <c r="D315" s="5" t="d">
        <v>1956-02-03</v>
      </c>
      <c r="E315" s="17">
        <f>2025-1956</f>
        <v>69</v>
      </c>
      <c r="F315" s="6">
        <v>6009075</v>
      </c>
      <c r="G315" s="40" t="s">
        <v>962</v>
      </c>
      <c r="H315" s="4" t="s">
        <v>8</v>
      </c>
      <c r="I315" s="17" t="s">
        <v>31</v>
      </c>
      <c r="J315" s="17" t="s">
        <v>5</v>
      </c>
      <c r="K315" s="27"/>
      <c r="L315" s="27"/>
      <c r="M315" s="27"/>
    </row>
    <row r="316" spans="1:13" ht="17.25" customHeight="1" x14ac:dyDescent="0.25">
      <c r="A316" s="4" t="s">
        <v>488</v>
      </c>
      <c r="B316" s="17" t="s">
        <v>489</v>
      </c>
      <c r="C316" s="4" t="s">
        <v>7</v>
      </c>
      <c r="D316" s="5" t="d">
        <v>1950-11-11</v>
      </c>
      <c r="E316" s="17">
        <f>2024-1950</f>
        <v>74</v>
      </c>
      <c r="F316" s="6">
        <v>3992860</v>
      </c>
      <c r="G316" s="40" t="s">
        <v>962</v>
      </c>
      <c r="H316" s="4" t="s">
        <v>10</v>
      </c>
      <c r="I316" s="17" t="s">
        <v>31</v>
      </c>
      <c r="J316" s="17" t="s">
        <v>5</v>
      </c>
      <c r="K316" s="27"/>
      <c r="L316" s="27"/>
      <c r="M316" s="27"/>
    </row>
    <row r="317" spans="1:13" ht="15.75" customHeight="1" x14ac:dyDescent="0.25">
      <c r="A317" s="4" t="s">
        <v>41</v>
      </c>
      <c r="B317" s="17" t="s">
        <v>490</v>
      </c>
      <c r="C317" s="4" t="s">
        <v>2</v>
      </c>
      <c r="D317" s="5" t="d">
        <v>1971-08-20</v>
      </c>
      <c r="E317" s="17">
        <f>2024-1971</f>
        <v>53</v>
      </c>
      <c r="F317" s="6">
        <v>10710326</v>
      </c>
      <c r="G317" s="40" t="s">
        <v>962</v>
      </c>
      <c r="H317" s="39" t="s">
        <v>961</v>
      </c>
      <c r="I317" s="17" t="s">
        <v>31</v>
      </c>
      <c r="J317" s="17" t="s">
        <v>5</v>
      </c>
      <c r="K317" s="27"/>
      <c r="L317" s="27"/>
      <c r="M317" s="27"/>
    </row>
    <row r="318" spans="1:13" ht="18" customHeight="1" x14ac:dyDescent="0.25">
      <c r="A318" s="4" t="s">
        <v>491</v>
      </c>
      <c r="B318" s="17" t="s">
        <v>492</v>
      </c>
      <c r="C318" s="4" t="s">
        <v>2</v>
      </c>
      <c r="D318" s="5" t="d">
        <v>2001-10-25</v>
      </c>
      <c r="E318" s="17">
        <f>2024-2001</f>
        <v>23</v>
      </c>
      <c r="F318" s="6">
        <v>28202630</v>
      </c>
      <c r="G318" s="40" t="s">
        <v>962</v>
      </c>
      <c r="H318" s="4" t="s">
        <v>6</v>
      </c>
      <c r="I318" s="17" t="s">
        <v>4</v>
      </c>
      <c r="J318" s="17" t="s">
        <v>5</v>
      </c>
      <c r="K318" s="27"/>
      <c r="L318" s="27"/>
      <c r="M318" s="27"/>
    </row>
    <row r="319" spans="1:13" ht="17.25" customHeight="1" x14ac:dyDescent="0.25">
      <c r="A319" s="4" t="s">
        <v>493</v>
      </c>
      <c r="B319" s="17" t="s">
        <v>494</v>
      </c>
      <c r="C319" s="4" t="s">
        <v>7</v>
      </c>
      <c r="D319" s="5" t="d">
        <v>2005-02-11</v>
      </c>
      <c r="E319" s="17">
        <f>2025-2005</f>
        <v>20</v>
      </c>
      <c r="F319" s="6">
        <v>30680419</v>
      </c>
      <c r="G319" s="40" t="s">
        <v>962</v>
      </c>
      <c r="H319" s="4" t="s">
        <v>9</v>
      </c>
      <c r="I319" s="17" t="s">
        <v>4</v>
      </c>
      <c r="J319" s="17" t="s">
        <v>5</v>
      </c>
      <c r="K319" s="27"/>
      <c r="L319" s="27"/>
      <c r="M319" s="27"/>
    </row>
    <row r="320" spans="1:13" ht="16.5" customHeight="1" x14ac:dyDescent="0.25">
      <c r="A320" s="1" t="s">
        <v>657</v>
      </c>
      <c r="B320" s="22" t="s">
        <v>658</v>
      </c>
      <c r="C320" s="1" t="s">
        <v>7</v>
      </c>
      <c r="D320" s="2" t="d">
        <v>1949-06-18</v>
      </c>
      <c r="E320" s="22">
        <f>2024-1949</f>
        <v>75</v>
      </c>
      <c r="F320" s="3">
        <v>5198523</v>
      </c>
      <c r="G320" s="23" t="s">
        <v>3</v>
      </c>
      <c r="H320" s="23" t="s">
        <v>3</v>
      </c>
      <c r="I320" s="22" t="s">
        <v>31</v>
      </c>
      <c r="J320" s="22" t="s">
        <v>5</v>
      </c>
      <c r="K320" s="27"/>
      <c r="L320" s="27"/>
      <c r="M320" s="27"/>
    </row>
    <row r="321" spans="1:13" ht="18" customHeight="1" x14ac:dyDescent="0.25">
      <c r="A321" s="4" t="s">
        <v>659</v>
      </c>
      <c r="B321" s="17" t="s">
        <v>660</v>
      </c>
      <c r="C321" s="4" t="s">
        <v>2</v>
      </c>
      <c r="D321" s="5" t="d">
        <v>1958-07-03</v>
      </c>
      <c r="E321" s="17">
        <f>2024-1958</f>
        <v>66</v>
      </c>
      <c r="F321" s="6">
        <v>7648337</v>
      </c>
      <c r="G321" s="40" t="s">
        <v>962</v>
      </c>
      <c r="H321" s="39" t="s">
        <v>961</v>
      </c>
      <c r="I321" s="17" t="s">
        <v>31</v>
      </c>
      <c r="J321" s="17" t="s">
        <v>5</v>
      </c>
      <c r="K321" s="27"/>
      <c r="L321" s="27"/>
      <c r="M321" s="27"/>
    </row>
    <row r="322" spans="1:13" ht="15" customHeight="1" x14ac:dyDescent="0.25">
      <c r="A322" s="4" t="s">
        <v>661</v>
      </c>
      <c r="B322" s="17" t="s">
        <v>662</v>
      </c>
      <c r="C322" s="4" t="s">
        <v>7</v>
      </c>
      <c r="D322" s="5" t="d">
        <v>2002-08-09</v>
      </c>
      <c r="E322" s="17">
        <f>2024-2002</f>
        <v>22</v>
      </c>
      <c r="F322" s="6">
        <v>29705282</v>
      </c>
      <c r="G322" s="40" t="s">
        <v>962</v>
      </c>
      <c r="H322" s="4" t="s">
        <v>15</v>
      </c>
      <c r="I322" s="17" t="s">
        <v>4</v>
      </c>
      <c r="J322" s="17" t="s">
        <v>5</v>
      </c>
      <c r="K322" s="27"/>
      <c r="L322" s="27"/>
      <c r="M322" s="27"/>
    </row>
    <row r="323" spans="1:13" ht="16.5" customHeight="1" x14ac:dyDescent="0.25">
      <c r="A323" s="4" t="s">
        <v>663</v>
      </c>
      <c r="B323" s="17" t="s">
        <v>664</v>
      </c>
      <c r="C323" s="4" t="s">
        <v>7</v>
      </c>
      <c r="D323" s="5" t="d">
        <v>2007-11-12</v>
      </c>
      <c r="E323" s="17">
        <f>2024-2007</f>
        <v>17</v>
      </c>
      <c r="F323" s="6">
        <v>32211645</v>
      </c>
      <c r="G323" s="40" t="s">
        <v>962</v>
      </c>
      <c r="H323" s="4" t="s">
        <v>15</v>
      </c>
      <c r="I323" s="17" t="s">
        <v>4</v>
      </c>
      <c r="J323" s="17" t="s">
        <v>5</v>
      </c>
      <c r="K323" s="27"/>
      <c r="L323" s="27"/>
      <c r="M323" s="27"/>
    </row>
    <row r="324" spans="1:13" ht="15" customHeight="1" x14ac:dyDescent="0.25">
      <c r="A324" s="4" t="s">
        <v>665</v>
      </c>
      <c r="B324" s="17" t="s">
        <v>666</v>
      </c>
      <c r="C324" s="4" t="s">
        <v>2</v>
      </c>
      <c r="D324" s="5" t="d">
        <v>2015-05-15</v>
      </c>
      <c r="E324" s="17">
        <f>2024-2015</f>
        <v>9</v>
      </c>
      <c r="F324" s="6">
        <v>36567785</v>
      </c>
      <c r="G324" s="40" t="s">
        <v>962</v>
      </c>
      <c r="H324" s="4" t="s">
        <v>17</v>
      </c>
      <c r="I324" s="17" t="s">
        <v>4</v>
      </c>
      <c r="J324" s="17" t="s">
        <v>5</v>
      </c>
      <c r="K324" s="27"/>
      <c r="L324" s="27"/>
      <c r="M324" s="27"/>
    </row>
    <row r="325" spans="1:13" ht="15" customHeight="1" x14ac:dyDescent="0.25">
      <c r="A325" s="4" t="s">
        <v>667</v>
      </c>
      <c r="B325" s="17" t="s">
        <v>668</v>
      </c>
      <c r="C325" s="4" t="s">
        <v>7</v>
      </c>
      <c r="D325" s="5" t="d">
        <v>2023-01-23</v>
      </c>
      <c r="E325" s="17">
        <f>2025-2023</f>
        <v>2</v>
      </c>
      <c r="F325" s="6" t="s">
        <v>844</v>
      </c>
      <c r="G325" s="40" t="s">
        <v>962</v>
      </c>
      <c r="H325" s="4" t="s">
        <v>15</v>
      </c>
      <c r="I325" s="17" t="s">
        <v>4</v>
      </c>
      <c r="J325" s="17" t="s">
        <v>5</v>
      </c>
      <c r="K325" s="27"/>
      <c r="L325" s="27"/>
      <c r="M325" s="27"/>
    </row>
    <row r="326" spans="1:13" ht="15.75" customHeight="1" x14ac:dyDescent="0.25">
      <c r="A326" s="1" t="s">
        <v>645</v>
      </c>
      <c r="B326" s="22" t="s">
        <v>646</v>
      </c>
      <c r="C326" s="22" t="s">
        <v>2</v>
      </c>
      <c r="D326" s="2" t="d">
        <v>1962-03-26</v>
      </c>
      <c r="E326" s="1">
        <f>2024-1962</f>
        <v>62</v>
      </c>
      <c r="F326" s="3">
        <v>8080092</v>
      </c>
      <c r="G326" s="23" t="s">
        <v>3</v>
      </c>
      <c r="H326" s="23" t="s">
        <v>3</v>
      </c>
      <c r="I326" s="22" t="s">
        <v>31</v>
      </c>
      <c r="J326" s="22" t="s">
        <v>5</v>
      </c>
      <c r="K326" s="27"/>
      <c r="L326" s="27"/>
      <c r="M326" s="27"/>
    </row>
    <row r="327" spans="1:13" ht="17.25" customHeight="1" x14ac:dyDescent="0.25">
      <c r="A327" s="1" t="s">
        <v>141</v>
      </c>
      <c r="B327" s="22" t="s">
        <v>142</v>
      </c>
      <c r="C327" s="1" t="s">
        <v>7</v>
      </c>
      <c r="D327" s="2" t="d">
        <v>1971-03-13</v>
      </c>
      <c r="E327" s="22">
        <f>2024-1971</f>
        <v>53</v>
      </c>
      <c r="F327" s="3">
        <v>11952451</v>
      </c>
      <c r="G327" s="23" t="s">
        <v>3</v>
      </c>
      <c r="H327" s="23" t="s">
        <v>3</v>
      </c>
      <c r="I327" s="22" t="s">
        <v>31</v>
      </c>
      <c r="J327" s="23" t="s">
        <v>5</v>
      </c>
      <c r="K327" s="27"/>
      <c r="L327" s="27"/>
      <c r="M327" s="27"/>
    </row>
    <row r="328" spans="1:13" ht="18" customHeight="1" x14ac:dyDescent="0.25">
      <c r="A328" s="4" t="s">
        <v>139</v>
      </c>
      <c r="B328" s="17" t="s">
        <v>140</v>
      </c>
      <c r="C328" s="4" t="s">
        <v>2</v>
      </c>
      <c r="D328" s="5" t="d">
        <v>1980-08-04</v>
      </c>
      <c r="E328" s="17">
        <f>2024-1980</f>
        <v>44</v>
      </c>
      <c r="F328" s="6">
        <v>14588923</v>
      </c>
      <c r="G328" s="40" t="s">
        <v>962</v>
      </c>
      <c r="H328" s="39" t="s">
        <v>961</v>
      </c>
      <c r="I328" s="17" t="s">
        <v>31</v>
      </c>
      <c r="J328" s="17" t="s">
        <v>5</v>
      </c>
      <c r="K328" s="27"/>
      <c r="L328" s="27"/>
      <c r="M328" s="27"/>
    </row>
    <row r="329" spans="1:13" ht="17.25" customHeight="1" x14ac:dyDescent="0.25">
      <c r="A329" s="4" t="s">
        <v>143</v>
      </c>
      <c r="B329" s="17" t="s">
        <v>144</v>
      </c>
      <c r="C329" s="4" t="s">
        <v>2</v>
      </c>
      <c r="D329" s="5" t="d">
        <v>1950-05-08</v>
      </c>
      <c r="E329" s="17">
        <f>2024-1950</f>
        <v>74</v>
      </c>
      <c r="F329" s="6">
        <v>4488457</v>
      </c>
      <c r="G329" s="40" t="s">
        <v>962</v>
      </c>
      <c r="H329" s="4" t="s">
        <v>8</v>
      </c>
      <c r="I329" s="17" t="s">
        <v>31</v>
      </c>
      <c r="J329" s="17" t="s">
        <v>5</v>
      </c>
      <c r="K329" s="27"/>
      <c r="L329" s="27"/>
      <c r="M329" s="27"/>
    </row>
    <row r="330" spans="1:13" ht="17.25" customHeight="1" x14ac:dyDescent="0.25">
      <c r="A330" s="4" t="s">
        <v>145</v>
      </c>
      <c r="B330" s="17" t="s">
        <v>146</v>
      </c>
      <c r="C330" s="4" t="s">
        <v>7</v>
      </c>
      <c r="D330" s="5" t="d">
        <v>2007-06-09</v>
      </c>
      <c r="E330" s="17">
        <f>2024-2007</f>
        <v>17</v>
      </c>
      <c r="F330" s="6">
        <v>31999444</v>
      </c>
      <c r="G330" s="40" t="s">
        <v>962</v>
      </c>
      <c r="H330" s="4" t="s">
        <v>9</v>
      </c>
      <c r="I330" s="17" t="s">
        <v>4</v>
      </c>
      <c r="J330" s="17" t="s">
        <v>5</v>
      </c>
      <c r="K330" s="27"/>
      <c r="L330" s="27"/>
      <c r="M330" s="27"/>
    </row>
    <row r="331" spans="1:13" ht="18" customHeight="1" x14ac:dyDescent="0.25">
      <c r="A331" s="4" t="s">
        <v>147</v>
      </c>
      <c r="B331" s="17" t="s">
        <v>148</v>
      </c>
      <c r="C331" s="4" t="s">
        <v>2</v>
      </c>
      <c r="D331" s="5" t="d">
        <v>2019-04-10</v>
      </c>
      <c r="E331" s="17">
        <f>2024-2019</f>
        <v>5</v>
      </c>
      <c r="F331" s="6" t="s">
        <v>779</v>
      </c>
      <c r="G331" s="40" t="s">
        <v>962</v>
      </c>
      <c r="H331" s="4" t="s">
        <v>17</v>
      </c>
      <c r="I331" s="17" t="s">
        <v>4</v>
      </c>
      <c r="J331" s="17" t="s">
        <v>5</v>
      </c>
      <c r="K331" s="27"/>
      <c r="L331" s="27"/>
      <c r="M331" s="27"/>
    </row>
    <row r="332" spans="1:13" ht="18.75" customHeight="1" x14ac:dyDescent="0.25">
      <c r="A332" s="4" t="s">
        <v>147</v>
      </c>
      <c r="B332" s="17" t="s">
        <v>149</v>
      </c>
      <c r="C332" s="4" t="s">
        <v>2</v>
      </c>
      <c r="D332" s="5" t="d">
        <v>2020-06-18</v>
      </c>
      <c r="E332" s="17">
        <f>2024-2020</f>
        <v>4</v>
      </c>
      <c r="F332" s="6" t="s">
        <v>780</v>
      </c>
      <c r="G332" s="40" t="s">
        <v>962</v>
      </c>
      <c r="H332" s="4" t="s">
        <v>17</v>
      </c>
      <c r="I332" s="17" t="s">
        <v>4</v>
      </c>
      <c r="J332" s="17" t="s">
        <v>5</v>
      </c>
      <c r="K332" s="27"/>
      <c r="L332" s="27"/>
      <c r="M332" s="27"/>
    </row>
    <row r="333" spans="1:13" ht="16.5" customHeight="1" x14ac:dyDescent="0.25">
      <c r="A333" s="1" t="s">
        <v>309</v>
      </c>
      <c r="B333" s="22" t="s">
        <v>310</v>
      </c>
      <c r="C333" s="22" t="s">
        <v>7</v>
      </c>
      <c r="D333" s="2" t="d">
        <v>1973-07-08</v>
      </c>
      <c r="E333" s="1">
        <f>2024-1973</f>
        <v>51</v>
      </c>
      <c r="F333" s="3">
        <v>11419725</v>
      </c>
      <c r="G333" s="23" t="s">
        <v>3</v>
      </c>
      <c r="H333" s="23" t="s">
        <v>3</v>
      </c>
      <c r="I333" s="22" t="s">
        <v>4</v>
      </c>
      <c r="J333" s="23" t="s">
        <v>5</v>
      </c>
      <c r="K333" s="27"/>
      <c r="L333" s="27"/>
      <c r="M333" s="27"/>
    </row>
    <row r="334" spans="1:13" ht="17.25" customHeight="1" x14ac:dyDescent="0.25">
      <c r="A334" s="4" t="s">
        <v>314</v>
      </c>
      <c r="B334" s="17" t="s">
        <v>315</v>
      </c>
      <c r="C334" s="4" t="s">
        <v>2</v>
      </c>
      <c r="D334" s="5" t="d">
        <v>1984-02-03</v>
      </c>
      <c r="E334" s="17">
        <f>2025-1984</f>
        <v>41</v>
      </c>
      <c r="F334" s="6">
        <v>15923703</v>
      </c>
      <c r="G334" s="40" t="s">
        <v>962</v>
      </c>
      <c r="H334" s="39" t="s">
        <v>961</v>
      </c>
      <c r="I334" s="17" t="s">
        <v>4</v>
      </c>
      <c r="J334" s="17" t="s">
        <v>5</v>
      </c>
      <c r="K334" s="27"/>
      <c r="L334" s="27"/>
      <c r="M334" s="27"/>
    </row>
    <row r="335" spans="1:13" ht="18" customHeight="1" x14ac:dyDescent="0.25">
      <c r="A335" s="4" t="s">
        <v>316</v>
      </c>
      <c r="B335" s="17" t="s">
        <v>317</v>
      </c>
      <c r="C335" s="4" t="s">
        <v>2</v>
      </c>
      <c r="D335" s="5" t="d">
        <v>2006-04-12</v>
      </c>
      <c r="E335" s="17">
        <f>2024-2006</f>
        <v>18</v>
      </c>
      <c r="F335" s="6">
        <v>31696763</v>
      </c>
      <c r="G335" s="40" t="s">
        <v>962</v>
      </c>
      <c r="H335" s="4" t="s">
        <v>6</v>
      </c>
      <c r="I335" s="17" t="s">
        <v>4</v>
      </c>
      <c r="J335" s="17" t="s">
        <v>5</v>
      </c>
      <c r="K335" s="27"/>
      <c r="L335" s="27"/>
      <c r="M335" s="27"/>
    </row>
    <row r="336" spans="1:13" ht="15" customHeight="1" x14ac:dyDescent="0.25">
      <c r="A336" s="4" t="s">
        <v>318</v>
      </c>
      <c r="B336" s="17" t="s">
        <v>319</v>
      </c>
      <c r="C336" s="4" t="s">
        <v>7</v>
      </c>
      <c r="D336" s="5" t="d">
        <v>2008-01-11</v>
      </c>
      <c r="E336" s="17">
        <f>2025-2008</f>
        <v>17</v>
      </c>
      <c r="F336" s="6">
        <v>32534013</v>
      </c>
      <c r="G336" s="40" t="s">
        <v>962</v>
      </c>
      <c r="H336" s="4" t="s">
        <v>9</v>
      </c>
      <c r="I336" s="17" t="s">
        <v>4</v>
      </c>
      <c r="J336" s="17" t="s">
        <v>5</v>
      </c>
      <c r="K336" s="27"/>
      <c r="L336" s="27"/>
      <c r="M336" s="27"/>
    </row>
    <row r="337" spans="1:13" ht="17.25" customHeight="1" x14ac:dyDescent="0.25">
      <c r="A337" s="4" t="s">
        <v>318</v>
      </c>
      <c r="B337" s="17" t="s">
        <v>320</v>
      </c>
      <c r="C337" s="4" t="s">
        <v>7</v>
      </c>
      <c r="D337" s="5" t="d">
        <v>2009-01-21</v>
      </c>
      <c r="E337" s="17">
        <f>2025-2009</f>
        <v>16</v>
      </c>
      <c r="F337" s="6">
        <v>32709062</v>
      </c>
      <c r="G337" s="40" t="s">
        <v>962</v>
      </c>
      <c r="H337" s="4" t="s">
        <v>9</v>
      </c>
      <c r="I337" s="17" t="s">
        <v>4</v>
      </c>
      <c r="J337" s="17" t="s">
        <v>5</v>
      </c>
      <c r="K337" s="27"/>
      <c r="L337" s="27"/>
      <c r="M337" s="27"/>
    </row>
    <row r="338" spans="1:13" ht="15.75" customHeight="1" x14ac:dyDescent="0.25">
      <c r="A338" s="4" t="s">
        <v>316</v>
      </c>
      <c r="B338" s="17" t="s">
        <v>321</v>
      </c>
      <c r="C338" s="4" t="s">
        <v>2</v>
      </c>
      <c r="D338" s="5" t="d">
        <v>2011-10-17</v>
      </c>
      <c r="E338" s="17">
        <f>2024-2011</f>
        <v>13</v>
      </c>
      <c r="F338" s="6">
        <v>34856499</v>
      </c>
      <c r="G338" s="40" t="s">
        <v>962</v>
      </c>
      <c r="H338" s="4" t="s">
        <v>6</v>
      </c>
      <c r="I338" s="17" t="s">
        <v>4</v>
      </c>
      <c r="J338" s="17" t="s">
        <v>5</v>
      </c>
      <c r="K338" s="27"/>
      <c r="L338" s="27"/>
      <c r="M338" s="27"/>
    </row>
    <row r="339" spans="1:13" ht="16.5" customHeight="1" x14ac:dyDescent="0.25">
      <c r="A339" s="1" t="s">
        <v>698</v>
      </c>
      <c r="B339" s="22" t="s">
        <v>699</v>
      </c>
      <c r="C339" s="1" t="s">
        <v>2</v>
      </c>
      <c r="D339" s="2" t="d">
        <v>1986-10-13</v>
      </c>
      <c r="E339" s="22">
        <f>2024-1986</f>
        <v>38</v>
      </c>
      <c r="F339" s="3">
        <v>18798152</v>
      </c>
      <c r="G339" s="23" t="s">
        <v>3</v>
      </c>
      <c r="H339" s="23" t="s">
        <v>3</v>
      </c>
      <c r="I339" s="22" t="s">
        <v>4</v>
      </c>
      <c r="J339" s="22" t="s">
        <v>5</v>
      </c>
      <c r="K339" s="27"/>
      <c r="L339" s="27"/>
      <c r="M339" s="27"/>
    </row>
    <row r="340" spans="1:13" x14ac:dyDescent="0.25">
      <c r="A340" s="4" t="s">
        <v>511</v>
      </c>
      <c r="B340" s="17" t="s">
        <v>857</v>
      </c>
      <c r="C340" s="4" t="s">
        <v>2</v>
      </c>
      <c r="D340" s="5" t="d">
        <v>1948-01-23</v>
      </c>
      <c r="E340" s="37">
        <f>2025-1948</f>
        <v>77</v>
      </c>
      <c r="F340" s="11">
        <v>7647960</v>
      </c>
      <c r="G340" s="40" t="s">
        <v>962</v>
      </c>
      <c r="H340" s="4" t="s">
        <v>8</v>
      </c>
      <c r="I340" s="17" t="s">
        <v>4</v>
      </c>
      <c r="J340" s="17" t="s">
        <v>5</v>
      </c>
      <c r="K340" s="27"/>
      <c r="L340" s="27"/>
      <c r="M340" s="27"/>
    </row>
    <row r="341" spans="1:13" x14ac:dyDescent="0.25">
      <c r="A341" s="4" t="s">
        <v>700</v>
      </c>
      <c r="B341" s="17" t="s">
        <v>701</v>
      </c>
      <c r="C341" s="4" t="s">
        <v>7</v>
      </c>
      <c r="D341" s="5" t="d">
        <v>1961-12-28</v>
      </c>
      <c r="E341" s="17">
        <f>2024-1961</f>
        <v>63</v>
      </c>
      <c r="F341" s="6">
        <v>8028736</v>
      </c>
      <c r="G341" s="40" t="s">
        <v>962</v>
      </c>
      <c r="H341" s="39" t="s">
        <v>960</v>
      </c>
      <c r="I341" s="17" t="s">
        <v>4</v>
      </c>
      <c r="J341" s="17" t="s">
        <v>5</v>
      </c>
      <c r="K341" s="27"/>
      <c r="L341" s="27"/>
      <c r="M341" s="27"/>
    </row>
    <row r="342" spans="1:13" ht="16.5" customHeight="1" x14ac:dyDescent="0.25">
      <c r="A342" s="4" t="s">
        <v>702</v>
      </c>
      <c r="B342" s="17" t="s">
        <v>703</v>
      </c>
      <c r="C342" s="4" t="s">
        <v>2</v>
      </c>
      <c r="D342" s="5" t="d">
        <v>2011-05-10</v>
      </c>
      <c r="E342" s="17">
        <f>2024-2011</f>
        <v>13</v>
      </c>
      <c r="F342" s="6">
        <v>34016483</v>
      </c>
      <c r="G342" s="40" t="s">
        <v>962</v>
      </c>
      <c r="H342" s="4" t="s">
        <v>6</v>
      </c>
      <c r="I342" s="17" t="s">
        <v>4</v>
      </c>
      <c r="J342" s="17" t="s">
        <v>5</v>
      </c>
      <c r="K342" s="27"/>
      <c r="L342" s="27"/>
      <c r="M342" s="27"/>
    </row>
    <row r="343" spans="1:13" ht="14.25" customHeight="1" x14ac:dyDescent="0.25">
      <c r="A343" s="4" t="s">
        <v>704</v>
      </c>
      <c r="B343" s="17" t="s">
        <v>705</v>
      </c>
      <c r="C343" s="4" t="s">
        <v>2</v>
      </c>
      <c r="D343" s="5" t="d">
        <v>2004-09-21</v>
      </c>
      <c r="E343" s="17">
        <f>2024-2004</f>
        <v>20</v>
      </c>
      <c r="F343" s="6">
        <v>30034680</v>
      </c>
      <c r="G343" s="40" t="s">
        <v>962</v>
      </c>
      <c r="H343" s="4" t="s">
        <v>6</v>
      </c>
      <c r="I343" s="17" t="s">
        <v>4</v>
      </c>
      <c r="J343" s="17" t="s">
        <v>5</v>
      </c>
      <c r="K343" s="27"/>
      <c r="L343" s="27"/>
      <c r="M343" s="27"/>
    </row>
    <row r="344" spans="1:13" ht="15.75" customHeight="1" x14ac:dyDescent="0.25">
      <c r="A344" s="1" t="s">
        <v>507</v>
      </c>
      <c r="B344" s="22" t="s">
        <v>508</v>
      </c>
      <c r="C344" s="1" t="s">
        <v>7</v>
      </c>
      <c r="D344" s="2" t="d">
        <v>1972-05-09</v>
      </c>
      <c r="E344" s="22">
        <f>2024-1972</f>
        <v>52</v>
      </c>
      <c r="F344" s="3">
        <v>12353698</v>
      </c>
      <c r="G344" s="23" t="s">
        <v>3</v>
      </c>
      <c r="H344" s="23" t="s">
        <v>3</v>
      </c>
      <c r="I344" s="22" t="s">
        <v>4</v>
      </c>
      <c r="J344" s="23" t="s">
        <v>5</v>
      </c>
      <c r="K344" s="27"/>
      <c r="L344" s="27"/>
      <c r="M344" s="27"/>
    </row>
    <row r="345" spans="1:13" ht="13.5" customHeight="1" x14ac:dyDescent="0.25">
      <c r="A345" s="4" t="s">
        <v>509</v>
      </c>
      <c r="B345" s="17" t="s">
        <v>510</v>
      </c>
      <c r="C345" s="4" t="s">
        <v>2</v>
      </c>
      <c r="D345" s="5" t="d">
        <v>1965-08-27</v>
      </c>
      <c r="E345" s="17">
        <f>2024-1965</f>
        <v>59</v>
      </c>
      <c r="F345" s="6">
        <v>8081398</v>
      </c>
      <c r="G345" s="40" t="s">
        <v>962</v>
      </c>
      <c r="H345" s="39" t="s">
        <v>961</v>
      </c>
      <c r="I345" s="17" t="s">
        <v>30</v>
      </c>
      <c r="J345" s="17" t="s">
        <v>5</v>
      </c>
      <c r="K345" s="27"/>
      <c r="L345" s="27"/>
      <c r="M345" s="27"/>
    </row>
    <row r="346" spans="1:13" x14ac:dyDescent="0.25">
      <c r="A346" s="4" t="s">
        <v>511</v>
      </c>
      <c r="B346" s="17" t="s">
        <v>512</v>
      </c>
      <c r="C346" s="4" t="s">
        <v>2</v>
      </c>
      <c r="D346" s="5" t="d">
        <v>2015-02-17</v>
      </c>
      <c r="E346" s="17">
        <f>2025-2015</f>
        <v>10</v>
      </c>
      <c r="F346" s="6" t="s">
        <v>822</v>
      </c>
      <c r="G346" s="40" t="s">
        <v>962</v>
      </c>
      <c r="H346" s="4" t="s">
        <v>17</v>
      </c>
      <c r="I346" s="17" t="s">
        <v>4</v>
      </c>
      <c r="J346" s="17" t="s">
        <v>5</v>
      </c>
      <c r="K346" s="27"/>
      <c r="L346" s="27"/>
      <c r="M346" s="27"/>
    </row>
    <row r="347" spans="1:13" ht="17.25" customHeight="1" x14ac:dyDescent="0.25">
      <c r="A347" s="1" t="s">
        <v>266</v>
      </c>
      <c r="B347" s="22" t="s">
        <v>267</v>
      </c>
      <c r="C347" s="22" t="s">
        <v>7</v>
      </c>
      <c r="D347" s="2" t="d">
        <v>1959-05-16</v>
      </c>
      <c r="E347" s="1">
        <f>2024-1959</f>
        <v>65</v>
      </c>
      <c r="F347" s="3">
        <v>9102770</v>
      </c>
      <c r="G347" s="23" t="s">
        <v>3</v>
      </c>
      <c r="H347" s="23" t="s">
        <v>3</v>
      </c>
      <c r="I347" s="22" t="s">
        <v>31</v>
      </c>
      <c r="J347" s="23" t="s">
        <v>5</v>
      </c>
      <c r="K347" s="27"/>
      <c r="L347" s="27"/>
      <c r="M347" s="27"/>
    </row>
    <row r="348" spans="1:13" ht="18" customHeight="1" x14ac:dyDescent="0.25">
      <c r="A348" s="4" t="s">
        <v>261</v>
      </c>
      <c r="B348" s="17" t="s">
        <v>262</v>
      </c>
      <c r="C348" s="4" t="s">
        <v>2</v>
      </c>
      <c r="D348" s="5" t="d">
        <v>1962-07-22</v>
      </c>
      <c r="E348" s="17">
        <f>2024-1962</f>
        <v>62</v>
      </c>
      <c r="F348" s="6">
        <v>9198959</v>
      </c>
      <c r="G348" s="40" t="s">
        <v>962</v>
      </c>
      <c r="H348" s="39" t="s">
        <v>961</v>
      </c>
      <c r="I348" s="17" t="s">
        <v>31</v>
      </c>
      <c r="J348" s="17" t="s">
        <v>5</v>
      </c>
      <c r="K348" s="27"/>
      <c r="L348" s="27"/>
      <c r="M348" s="27"/>
    </row>
    <row r="349" spans="1:13" ht="15" customHeight="1" x14ac:dyDescent="0.25">
      <c r="A349" s="4" t="s">
        <v>263</v>
      </c>
      <c r="B349" s="17" t="s">
        <v>264</v>
      </c>
      <c r="C349" s="4" t="s">
        <v>2</v>
      </c>
      <c r="D349" s="5" t="d">
        <v>2016-02-23</v>
      </c>
      <c r="E349" s="17">
        <f>2025-2016</f>
        <v>9</v>
      </c>
      <c r="F349" s="6" t="s">
        <v>799</v>
      </c>
      <c r="G349" s="40" t="s">
        <v>962</v>
      </c>
      <c r="H349" s="4" t="s">
        <v>17</v>
      </c>
      <c r="I349" s="17" t="s">
        <v>4</v>
      </c>
      <c r="J349" s="17" t="s">
        <v>5</v>
      </c>
      <c r="K349" s="27"/>
      <c r="L349" s="27"/>
      <c r="M349" s="27"/>
    </row>
    <row r="350" spans="1:13" ht="15.75" customHeight="1" x14ac:dyDescent="0.25">
      <c r="A350" s="4" t="s">
        <v>263</v>
      </c>
      <c r="B350" s="17" t="s">
        <v>265</v>
      </c>
      <c r="C350" s="4" t="s">
        <v>7</v>
      </c>
      <c r="D350" s="5" t="d">
        <v>2022-10-15</v>
      </c>
      <c r="E350" s="17">
        <f>2024-2022</f>
        <v>2</v>
      </c>
      <c r="F350" s="6" t="s">
        <v>800</v>
      </c>
      <c r="G350" s="40" t="s">
        <v>962</v>
      </c>
      <c r="H350" s="4" t="s">
        <v>15</v>
      </c>
      <c r="I350" s="17" t="s">
        <v>4</v>
      </c>
      <c r="J350" s="17" t="s">
        <v>5</v>
      </c>
      <c r="K350" s="27"/>
      <c r="L350" s="27"/>
      <c r="M350" s="27"/>
    </row>
    <row r="351" spans="1:13" ht="21" customHeight="1" x14ac:dyDescent="0.25">
      <c r="A351" s="1" t="s">
        <v>574</v>
      </c>
      <c r="B351" s="22" t="s">
        <v>575</v>
      </c>
      <c r="C351" s="1" t="s">
        <v>2</v>
      </c>
      <c r="D351" s="2" t="d">
        <v>1988-12-31</v>
      </c>
      <c r="E351" s="22">
        <f>2024-1988</f>
        <v>36</v>
      </c>
      <c r="F351" s="3">
        <v>19422816</v>
      </c>
      <c r="G351" s="23" t="s">
        <v>3</v>
      </c>
      <c r="H351" s="23" t="s">
        <v>3</v>
      </c>
      <c r="I351" s="22" t="s">
        <v>4</v>
      </c>
      <c r="J351" s="23" t="s">
        <v>5</v>
      </c>
      <c r="K351" s="27"/>
      <c r="L351" s="27"/>
      <c r="M351" s="27"/>
    </row>
    <row r="352" spans="1:13" ht="18.75" customHeight="1" x14ac:dyDescent="0.25">
      <c r="A352" s="4" t="s">
        <v>576</v>
      </c>
      <c r="B352" s="17" t="s">
        <v>577</v>
      </c>
      <c r="C352" s="4" t="s">
        <v>2</v>
      </c>
      <c r="D352" s="5" t="d">
        <v>2008-04-10</v>
      </c>
      <c r="E352" s="17">
        <f>2024-2008</f>
        <v>16</v>
      </c>
      <c r="F352" s="6">
        <v>33749601</v>
      </c>
      <c r="G352" s="40" t="s">
        <v>962</v>
      </c>
      <c r="H352" s="4" t="s">
        <v>6</v>
      </c>
      <c r="I352" s="17" t="s">
        <v>4</v>
      </c>
      <c r="J352" s="17" t="s">
        <v>5</v>
      </c>
      <c r="K352" s="27"/>
      <c r="L352" s="27"/>
      <c r="M352" s="27"/>
    </row>
    <row r="353" spans="1:13" ht="18" customHeight="1" x14ac:dyDescent="0.25">
      <c r="A353" s="4" t="s">
        <v>579</v>
      </c>
      <c r="B353" s="17" t="s">
        <v>578</v>
      </c>
      <c r="C353" s="4" t="s">
        <v>7</v>
      </c>
      <c r="D353" s="5" t="d">
        <v>1991-02-06</v>
      </c>
      <c r="E353" s="17">
        <f>2025-1991</f>
        <v>34</v>
      </c>
      <c r="F353" s="6">
        <v>22987273</v>
      </c>
      <c r="G353" s="40" t="s">
        <v>962</v>
      </c>
      <c r="H353" s="39" t="s">
        <v>960</v>
      </c>
      <c r="I353" s="17" t="s">
        <v>4</v>
      </c>
      <c r="J353" s="17" t="s">
        <v>5</v>
      </c>
      <c r="K353" s="27"/>
      <c r="L353" s="27"/>
      <c r="M353" s="27"/>
    </row>
    <row r="354" spans="1:13" ht="18" customHeight="1" x14ac:dyDescent="0.25">
      <c r="A354" s="4" t="s">
        <v>580</v>
      </c>
      <c r="B354" s="17" t="s">
        <v>581</v>
      </c>
      <c r="C354" s="4" t="s">
        <v>2</v>
      </c>
      <c r="D354" s="5" t="d">
        <v>1967-10-28</v>
      </c>
      <c r="E354" s="17">
        <f>2024-1967</f>
        <v>57</v>
      </c>
      <c r="F354" s="6">
        <v>11958842</v>
      </c>
      <c r="G354" s="40" t="s">
        <v>962</v>
      </c>
      <c r="H354" s="4" t="s">
        <v>8</v>
      </c>
      <c r="I354" s="17" t="s">
        <v>31</v>
      </c>
      <c r="J354" s="17" t="s">
        <v>5</v>
      </c>
      <c r="K354" s="27"/>
      <c r="L354" s="27"/>
      <c r="M354" s="27"/>
    </row>
    <row r="355" spans="1:13" x14ac:dyDescent="0.25">
      <c r="A355" s="1" t="s">
        <v>442</v>
      </c>
      <c r="B355" s="22" t="s">
        <v>443</v>
      </c>
      <c r="C355" s="1" t="s">
        <v>2</v>
      </c>
      <c r="D355" s="2" t="d">
        <v>1994-06-14</v>
      </c>
      <c r="E355" s="22">
        <f>2024-1994</f>
        <v>30</v>
      </c>
      <c r="F355" s="3">
        <v>22658783</v>
      </c>
      <c r="G355" s="23" t="s">
        <v>3</v>
      </c>
      <c r="H355" s="23" t="s">
        <v>3</v>
      </c>
      <c r="I355" s="22" t="s">
        <v>4</v>
      </c>
      <c r="J355" s="23" t="s">
        <v>5</v>
      </c>
      <c r="K355" s="27"/>
      <c r="L355" s="27"/>
      <c r="M355" s="27"/>
    </row>
    <row r="356" spans="1:13" x14ac:dyDescent="0.25">
      <c r="A356" s="4" t="s">
        <v>444</v>
      </c>
      <c r="B356" s="17" t="s">
        <v>445</v>
      </c>
      <c r="C356" s="4" t="s">
        <v>2</v>
      </c>
      <c r="D356" s="5" t="d">
        <v>1969-09-29</v>
      </c>
      <c r="E356" s="17">
        <f>2024-1969</f>
        <v>55</v>
      </c>
      <c r="F356" s="6">
        <v>11465611</v>
      </c>
      <c r="G356" s="40" t="s">
        <v>962</v>
      </c>
      <c r="H356" s="4" t="s">
        <v>8</v>
      </c>
      <c r="I356" s="17" t="s">
        <v>4</v>
      </c>
      <c r="J356" s="17" t="s">
        <v>5</v>
      </c>
      <c r="K356" s="27"/>
      <c r="L356" s="27"/>
      <c r="M356" s="27"/>
    </row>
    <row r="357" spans="1:13" ht="19.5" customHeight="1" x14ac:dyDescent="0.25">
      <c r="A357" s="4" t="s">
        <v>446</v>
      </c>
      <c r="B357" s="17" t="s">
        <v>447</v>
      </c>
      <c r="C357" s="4" t="s">
        <v>7</v>
      </c>
      <c r="D357" s="5" t="d">
        <v>1990-06-09</v>
      </c>
      <c r="E357" s="17">
        <f>2024-1990</f>
        <v>34</v>
      </c>
      <c r="F357" s="6">
        <v>27241373</v>
      </c>
      <c r="G357" s="40" t="s">
        <v>962</v>
      </c>
      <c r="H357" s="39" t="s">
        <v>960</v>
      </c>
      <c r="I357" s="17" t="s">
        <v>4</v>
      </c>
      <c r="J357" s="17" t="s">
        <v>5</v>
      </c>
      <c r="K357" s="27"/>
      <c r="L357" s="27"/>
      <c r="M357" s="27"/>
    </row>
    <row r="358" spans="1:13" ht="18" customHeight="1" x14ac:dyDescent="0.25">
      <c r="A358" s="4" t="s">
        <v>448</v>
      </c>
      <c r="B358" s="17" t="s">
        <v>449</v>
      </c>
      <c r="C358" s="4" t="s">
        <v>2</v>
      </c>
      <c r="D358" s="5" t="d">
        <v>2015-08-22</v>
      </c>
      <c r="E358" s="17">
        <f>2024-2015</f>
        <v>9</v>
      </c>
      <c r="F358" s="6" t="s">
        <v>815</v>
      </c>
      <c r="G358" s="40" t="s">
        <v>962</v>
      </c>
      <c r="H358" s="4" t="s">
        <v>6</v>
      </c>
      <c r="I358" s="17" t="s">
        <v>4</v>
      </c>
      <c r="J358" s="17" t="s">
        <v>5</v>
      </c>
      <c r="K358" s="27"/>
      <c r="L358" s="27"/>
      <c r="M358" s="27"/>
    </row>
    <row r="359" spans="1:13" x14ac:dyDescent="0.25">
      <c r="A359" s="1" t="s">
        <v>544</v>
      </c>
      <c r="B359" s="22" t="s">
        <v>545</v>
      </c>
      <c r="C359" s="22" t="s">
        <v>2</v>
      </c>
      <c r="D359" s="2" t="d">
        <v>1954-08-02</v>
      </c>
      <c r="E359" s="1">
        <f>2024-1954</f>
        <v>70</v>
      </c>
      <c r="F359" s="3">
        <v>3999855</v>
      </c>
      <c r="G359" s="23" t="s">
        <v>3</v>
      </c>
      <c r="H359" s="23" t="s">
        <v>3</v>
      </c>
      <c r="I359" s="22" t="s">
        <v>4</v>
      </c>
      <c r="J359" s="23" t="s">
        <v>5</v>
      </c>
      <c r="K359" s="27"/>
      <c r="L359" s="27"/>
      <c r="M359" s="27"/>
    </row>
    <row r="360" spans="1:13" x14ac:dyDescent="0.25">
      <c r="A360" s="1" t="s">
        <v>500</v>
      </c>
      <c r="B360" s="22" t="s">
        <v>501</v>
      </c>
      <c r="C360" s="1" t="s">
        <v>2</v>
      </c>
      <c r="D360" s="2" t="d">
        <v>1969-12-24</v>
      </c>
      <c r="E360" s="22">
        <f>2024-1969</f>
        <v>55</v>
      </c>
      <c r="F360" s="3">
        <v>11460494</v>
      </c>
      <c r="G360" s="23" t="s">
        <v>3</v>
      </c>
      <c r="H360" s="23" t="s">
        <v>3</v>
      </c>
      <c r="I360" s="22" t="s">
        <v>4</v>
      </c>
      <c r="J360" s="23" t="s">
        <v>5</v>
      </c>
      <c r="K360" s="27"/>
      <c r="L360" s="27"/>
      <c r="M360" s="27"/>
    </row>
    <row r="361" spans="1:13" ht="21" customHeight="1" x14ac:dyDescent="0.25">
      <c r="A361" s="4" t="s">
        <v>502</v>
      </c>
      <c r="B361" s="17" t="s">
        <v>503</v>
      </c>
      <c r="C361" s="4" t="s">
        <v>7</v>
      </c>
      <c r="D361" s="5" t="d">
        <v>1965-02-22</v>
      </c>
      <c r="E361" s="17">
        <f>2025-1965</f>
        <v>60</v>
      </c>
      <c r="F361" s="6">
        <v>6700543</v>
      </c>
      <c r="G361" s="40" t="s">
        <v>962</v>
      </c>
      <c r="H361" s="39" t="s">
        <v>960</v>
      </c>
      <c r="I361" s="17" t="s">
        <v>4</v>
      </c>
      <c r="J361" s="17" t="s">
        <v>5</v>
      </c>
      <c r="K361" s="27"/>
      <c r="L361" s="27"/>
      <c r="M361" s="27"/>
    </row>
    <row r="362" spans="1:13" ht="17.25" customHeight="1" x14ac:dyDescent="0.25">
      <c r="A362" s="4" t="s">
        <v>504</v>
      </c>
      <c r="B362" s="17" t="s">
        <v>505</v>
      </c>
      <c r="C362" s="4" t="s">
        <v>2</v>
      </c>
      <c r="D362" s="5" t="d">
        <v>2005-02-14</v>
      </c>
      <c r="E362" s="17">
        <f>2025-2005</f>
        <v>20</v>
      </c>
      <c r="F362" s="6">
        <v>30886049</v>
      </c>
      <c r="G362" s="40" t="s">
        <v>962</v>
      </c>
      <c r="H362" s="4" t="s">
        <v>6</v>
      </c>
      <c r="I362" s="17" t="s">
        <v>4</v>
      </c>
      <c r="J362" s="17" t="s">
        <v>5</v>
      </c>
      <c r="K362" s="27"/>
      <c r="L362" s="27"/>
      <c r="M362" s="27"/>
    </row>
    <row r="363" spans="1:13" ht="16.5" customHeight="1" x14ac:dyDescent="0.25">
      <c r="A363" s="4" t="s">
        <v>504</v>
      </c>
      <c r="B363" s="17" t="s">
        <v>506</v>
      </c>
      <c r="C363" s="4" t="s">
        <v>2</v>
      </c>
      <c r="D363" s="5" t="d">
        <v>2003-09-28</v>
      </c>
      <c r="E363" s="17">
        <f>2024-2003</f>
        <v>21</v>
      </c>
      <c r="F363" s="6">
        <v>30356549</v>
      </c>
      <c r="G363" s="40" t="s">
        <v>962</v>
      </c>
      <c r="H363" s="4" t="s">
        <v>6</v>
      </c>
      <c r="I363" s="17" t="s">
        <v>4</v>
      </c>
      <c r="J363" s="17" t="s">
        <v>5</v>
      </c>
      <c r="K363" s="27"/>
      <c r="L363" s="27"/>
      <c r="M363" s="27"/>
    </row>
    <row r="364" spans="1:13" ht="13.5" customHeight="1" x14ac:dyDescent="0.25">
      <c r="A364" s="1" t="s">
        <v>640</v>
      </c>
      <c r="B364" s="22" t="s">
        <v>644</v>
      </c>
      <c r="C364" s="2" t="s">
        <v>2</v>
      </c>
      <c r="D364" s="2" t="d">
        <v>1962-07-17</v>
      </c>
      <c r="E364" s="1">
        <f>2024-1962</f>
        <v>62</v>
      </c>
      <c r="F364" s="3">
        <v>9050716</v>
      </c>
      <c r="G364" s="23" t="s">
        <v>3</v>
      </c>
      <c r="H364" s="23" t="s">
        <v>3</v>
      </c>
      <c r="I364" s="22" t="s">
        <v>4</v>
      </c>
      <c r="J364" s="22" t="s">
        <v>5</v>
      </c>
      <c r="K364" s="27"/>
      <c r="L364" s="27"/>
      <c r="M364" s="27"/>
    </row>
    <row r="365" spans="1:13" x14ac:dyDescent="0.25">
      <c r="A365" s="4" t="s">
        <v>887</v>
      </c>
      <c r="B365" s="17" t="s">
        <v>888</v>
      </c>
      <c r="C365" s="17" t="s">
        <v>7</v>
      </c>
      <c r="D365" s="5" t="d">
        <v>1961-01-30</v>
      </c>
      <c r="E365" s="4">
        <v>63</v>
      </c>
      <c r="F365" s="6">
        <v>8073663</v>
      </c>
      <c r="G365" s="40" t="s">
        <v>962</v>
      </c>
      <c r="H365" s="39" t="s">
        <v>960</v>
      </c>
      <c r="I365" s="17" t="s">
        <v>31</v>
      </c>
      <c r="J365" s="17" t="s">
        <v>5</v>
      </c>
      <c r="K365" s="27"/>
      <c r="L365" s="27"/>
      <c r="M365" s="27"/>
    </row>
    <row r="366" spans="1:13" x14ac:dyDescent="0.25">
      <c r="A366" s="4" t="s">
        <v>889</v>
      </c>
      <c r="B366" s="17" t="s">
        <v>890</v>
      </c>
      <c r="C366" s="17" t="s">
        <v>2</v>
      </c>
      <c r="D366" s="5" t="d">
        <v>2009-12-01</v>
      </c>
      <c r="E366" s="4">
        <f>2024-2009</f>
        <v>15</v>
      </c>
      <c r="F366" s="6">
        <v>33659965</v>
      </c>
      <c r="G366" s="40" t="s">
        <v>962</v>
      </c>
      <c r="H366" s="17" t="s">
        <v>17</v>
      </c>
      <c r="I366" s="17" t="s">
        <v>4</v>
      </c>
      <c r="J366" s="17" t="s">
        <v>5</v>
      </c>
      <c r="K366" s="27"/>
      <c r="L366" s="27"/>
      <c r="M366" s="27"/>
    </row>
    <row r="367" spans="1:13" x14ac:dyDescent="0.25">
      <c r="A367" s="4" t="s">
        <v>889</v>
      </c>
      <c r="B367" s="17" t="s">
        <v>891</v>
      </c>
      <c r="C367" s="17" t="s">
        <v>7</v>
      </c>
      <c r="D367" s="5" t="d">
        <v>2012-03-23</v>
      </c>
      <c r="E367" s="4">
        <f>2024-2012</f>
        <v>12</v>
      </c>
      <c r="F367" s="6">
        <v>36042083</v>
      </c>
      <c r="G367" s="40" t="s">
        <v>962</v>
      </c>
      <c r="H367" s="17" t="s">
        <v>15</v>
      </c>
      <c r="I367" s="17" t="s">
        <v>4</v>
      </c>
      <c r="J367" s="17" t="s">
        <v>5</v>
      </c>
      <c r="K367" s="27"/>
      <c r="L367" s="27"/>
      <c r="M367" s="27"/>
    </row>
    <row r="368" spans="1:13" x14ac:dyDescent="0.25">
      <c r="A368" s="4" t="s">
        <v>887</v>
      </c>
      <c r="B368" s="17" t="s">
        <v>892</v>
      </c>
      <c r="C368" s="17" t="s">
        <v>7</v>
      </c>
      <c r="D368" s="5" t="d">
        <v>2019-01-30</v>
      </c>
      <c r="E368" s="4">
        <f>2025-2019</f>
        <v>6</v>
      </c>
      <c r="F368" s="38" t="s">
        <v>954</v>
      </c>
      <c r="G368" s="40" t="s">
        <v>962</v>
      </c>
      <c r="H368" s="17" t="s">
        <v>15</v>
      </c>
      <c r="I368" s="17" t="s">
        <v>4</v>
      </c>
      <c r="J368" s="17" t="s">
        <v>5</v>
      </c>
      <c r="K368" s="27"/>
      <c r="L368" s="27"/>
      <c r="M368" s="27"/>
    </row>
    <row r="369" spans="1:13" ht="16.5" customHeight="1" x14ac:dyDescent="0.25">
      <c r="A369" s="4" t="s">
        <v>893</v>
      </c>
      <c r="B369" s="17" t="s">
        <v>894</v>
      </c>
      <c r="C369" s="17" t="s">
        <v>7</v>
      </c>
      <c r="D369" s="5" t="d">
        <v>2024-02-09</v>
      </c>
      <c r="E369" s="4">
        <f>2025-2024</f>
        <v>1</v>
      </c>
      <c r="F369" s="38" t="s">
        <v>955</v>
      </c>
      <c r="G369" s="40" t="s">
        <v>962</v>
      </c>
      <c r="H369" s="17" t="s">
        <v>15</v>
      </c>
      <c r="I369" s="17" t="s">
        <v>4</v>
      </c>
      <c r="J369" s="17" t="s">
        <v>5</v>
      </c>
      <c r="K369" s="27"/>
      <c r="L369" s="27"/>
      <c r="M369" s="27"/>
    </row>
    <row r="370" spans="1:13" ht="12.75" customHeight="1" x14ac:dyDescent="0.25">
      <c r="A370" s="1" t="s">
        <v>232</v>
      </c>
      <c r="B370" s="22" t="s">
        <v>233</v>
      </c>
      <c r="C370" s="22" t="s">
        <v>2</v>
      </c>
      <c r="D370" s="2" t="d">
        <v>1973-03-11</v>
      </c>
      <c r="E370" s="1">
        <f>2024-1973</f>
        <v>51</v>
      </c>
      <c r="F370" s="3">
        <v>11951863</v>
      </c>
      <c r="G370" s="23" t="s">
        <v>3</v>
      </c>
      <c r="H370" s="23" t="s">
        <v>3</v>
      </c>
      <c r="I370" s="22" t="s">
        <v>4</v>
      </c>
      <c r="J370" s="23" t="s">
        <v>5</v>
      </c>
      <c r="K370" s="27"/>
      <c r="L370" s="27"/>
      <c r="M370" s="27"/>
    </row>
    <row r="371" spans="1:13" ht="15" customHeight="1" x14ac:dyDescent="0.25">
      <c r="A371" s="4" t="s">
        <v>234</v>
      </c>
      <c r="B371" s="17" t="s">
        <v>235</v>
      </c>
      <c r="C371" s="4" t="s">
        <v>7</v>
      </c>
      <c r="D371" s="5" t="d">
        <v>1973-01-17</v>
      </c>
      <c r="E371" s="17">
        <f>2025-1973</f>
        <v>52</v>
      </c>
      <c r="F371" s="6">
        <v>13065234</v>
      </c>
      <c r="G371" s="40" t="s">
        <v>962</v>
      </c>
      <c r="H371" s="39" t="s">
        <v>960</v>
      </c>
      <c r="I371" s="17" t="s">
        <v>4</v>
      </c>
      <c r="J371" s="17" t="s">
        <v>5</v>
      </c>
      <c r="K371" s="27"/>
      <c r="L371" s="27"/>
      <c r="M371" s="27"/>
    </row>
    <row r="372" spans="1:13" ht="14.25" customHeight="1" x14ac:dyDescent="0.25">
      <c r="A372" s="4" t="s">
        <v>236</v>
      </c>
      <c r="B372" s="17" t="s">
        <v>237</v>
      </c>
      <c r="C372" s="4" t="s">
        <v>2</v>
      </c>
      <c r="D372" s="5" t="d">
        <v>2004-01-27</v>
      </c>
      <c r="E372" s="17">
        <f>2025-2004</f>
        <v>21</v>
      </c>
      <c r="F372" s="6">
        <v>30270582</v>
      </c>
      <c r="G372" s="40" t="s">
        <v>962</v>
      </c>
      <c r="H372" s="4" t="s">
        <v>6</v>
      </c>
      <c r="I372" s="17" t="s">
        <v>4</v>
      </c>
      <c r="J372" s="17" t="s">
        <v>5</v>
      </c>
      <c r="K372" s="27"/>
      <c r="L372" s="27"/>
      <c r="M372" s="27"/>
    </row>
    <row r="373" spans="1:13" ht="13.5" customHeight="1" x14ac:dyDescent="0.25">
      <c r="A373" s="4" t="s">
        <v>238</v>
      </c>
      <c r="B373" s="17" t="s">
        <v>239</v>
      </c>
      <c r="C373" s="4" t="s">
        <v>2</v>
      </c>
      <c r="D373" s="5" t="d">
        <v>2012-03-27</v>
      </c>
      <c r="E373" s="17">
        <f>2024-2012</f>
        <v>12</v>
      </c>
      <c r="F373" s="6" t="s">
        <v>794</v>
      </c>
      <c r="G373" s="40" t="s">
        <v>962</v>
      </c>
      <c r="H373" s="4" t="s">
        <v>17</v>
      </c>
      <c r="I373" s="17" t="s">
        <v>4</v>
      </c>
      <c r="J373" s="17" t="s">
        <v>5</v>
      </c>
      <c r="K373" s="27"/>
      <c r="L373" s="27"/>
      <c r="M373" s="27"/>
    </row>
    <row r="374" spans="1:13" ht="16.5" customHeight="1" x14ac:dyDescent="0.25">
      <c r="A374" s="4" t="s">
        <v>238</v>
      </c>
      <c r="B374" s="17" t="s">
        <v>240</v>
      </c>
      <c r="C374" s="4" t="s">
        <v>2</v>
      </c>
      <c r="D374" s="5" t="d">
        <v>2016-09-22</v>
      </c>
      <c r="E374" s="17">
        <f>2024-2016</f>
        <v>8</v>
      </c>
      <c r="F374" s="6" t="s">
        <v>795</v>
      </c>
      <c r="G374" s="40" t="s">
        <v>962</v>
      </c>
      <c r="H374" s="4" t="s">
        <v>17</v>
      </c>
      <c r="I374" s="17" t="s">
        <v>4</v>
      </c>
      <c r="J374" s="17" t="s">
        <v>5</v>
      </c>
      <c r="K374" s="27"/>
      <c r="L374" s="27"/>
      <c r="M374" s="27"/>
    </row>
    <row r="375" spans="1:13" ht="15" customHeight="1" x14ac:dyDescent="0.25">
      <c r="A375" s="4" t="s">
        <v>241</v>
      </c>
      <c r="B375" s="17" t="s">
        <v>242</v>
      </c>
      <c r="C375" s="4" t="s">
        <v>7</v>
      </c>
      <c r="D375" s="5" t="d">
        <v>2018-05-08</v>
      </c>
      <c r="E375" s="17">
        <f>2024-2018</f>
        <v>6</v>
      </c>
      <c r="F375" s="6" t="s">
        <v>796</v>
      </c>
      <c r="G375" s="40" t="s">
        <v>962</v>
      </c>
      <c r="H375" s="4" t="s">
        <v>15</v>
      </c>
      <c r="I375" s="17" t="s">
        <v>4</v>
      </c>
      <c r="J375" s="17" t="s">
        <v>5</v>
      </c>
      <c r="K375" s="27"/>
      <c r="L375" s="27"/>
      <c r="M375" s="27"/>
    </row>
    <row r="376" spans="1:13" x14ac:dyDescent="0.25">
      <c r="A376" s="22" t="s">
        <v>722</v>
      </c>
      <c r="B376" s="22" t="s">
        <v>723</v>
      </c>
      <c r="C376" s="22" t="s">
        <v>2</v>
      </c>
      <c r="D376" s="28" t="d">
        <v>1970-11-01</v>
      </c>
      <c r="E376" s="22">
        <f>2024-1970</f>
        <v>54</v>
      </c>
      <c r="F376" s="7">
        <v>8713717</v>
      </c>
      <c r="G376" s="23" t="s">
        <v>3</v>
      </c>
      <c r="H376" s="23" t="s">
        <v>3</v>
      </c>
      <c r="I376" s="22" t="s">
        <v>66</v>
      </c>
      <c r="J376" s="22" t="s">
        <v>5</v>
      </c>
      <c r="K376" s="27"/>
      <c r="L376" s="27"/>
      <c r="M376" s="27"/>
    </row>
    <row r="377" spans="1:13" x14ac:dyDescent="0.25">
      <c r="A377" s="17" t="s">
        <v>724</v>
      </c>
      <c r="B377" s="17" t="s">
        <v>725</v>
      </c>
      <c r="C377" s="17" t="s">
        <v>2</v>
      </c>
      <c r="D377" s="32" t="d">
        <v>2014-07-04</v>
      </c>
      <c r="E377" s="17">
        <f>2024-2014</f>
        <v>10</v>
      </c>
      <c r="F377" s="8">
        <v>36325978</v>
      </c>
      <c r="G377" s="40" t="s">
        <v>962</v>
      </c>
      <c r="H377" s="17" t="s">
        <v>17</v>
      </c>
      <c r="I377" s="17" t="s">
        <v>4</v>
      </c>
      <c r="J377" s="17" t="s">
        <v>5</v>
      </c>
      <c r="K377" s="27"/>
      <c r="L377" s="27"/>
      <c r="M377" s="27"/>
    </row>
    <row r="378" spans="1:13" x14ac:dyDescent="0.25">
      <c r="A378" s="17" t="s">
        <v>726</v>
      </c>
      <c r="B378" s="17" t="s">
        <v>727</v>
      </c>
      <c r="C378" s="17" t="s">
        <v>2</v>
      </c>
      <c r="D378" s="32" t="d">
        <v>1953-04-25</v>
      </c>
      <c r="E378" s="17">
        <f>2024-1953</f>
        <v>71</v>
      </c>
      <c r="F378" s="8">
        <v>14255432</v>
      </c>
      <c r="G378" s="40" t="s">
        <v>962</v>
      </c>
      <c r="H378" s="17" t="s">
        <v>8</v>
      </c>
      <c r="I378" s="17" t="s">
        <v>30</v>
      </c>
      <c r="J378" s="17" t="s">
        <v>5</v>
      </c>
      <c r="K378" s="27"/>
      <c r="L378" s="27"/>
      <c r="M378" s="27"/>
    </row>
    <row r="379" spans="1:13" x14ac:dyDescent="0.25">
      <c r="A379" s="17" t="s">
        <v>728</v>
      </c>
      <c r="B379" s="17" t="s">
        <v>729</v>
      </c>
      <c r="C379" s="17" t="s">
        <v>2</v>
      </c>
      <c r="D379" s="32" t="d">
        <v>2020-07-22</v>
      </c>
      <c r="E379" s="17">
        <f>2024-2020</f>
        <v>4</v>
      </c>
      <c r="F379" s="8" t="s">
        <v>851</v>
      </c>
      <c r="G379" s="40" t="s">
        <v>962</v>
      </c>
      <c r="H379" s="17" t="s">
        <v>17</v>
      </c>
      <c r="I379" s="17" t="s">
        <v>4</v>
      </c>
      <c r="J379" s="17" t="s">
        <v>5</v>
      </c>
      <c r="K379" s="27"/>
      <c r="L379" s="27"/>
      <c r="M379" s="27"/>
    </row>
    <row r="380" spans="1:13" ht="15" customHeight="1" x14ac:dyDescent="0.25">
      <c r="A380" s="1" t="s">
        <v>276</v>
      </c>
      <c r="B380" s="10" t="s">
        <v>277</v>
      </c>
      <c r="C380" s="2" t="s">
        <v>2</v>
      </c>
      <c r="D380" s="2" t="d">
        <v>1987-10-18</v>
      </c>
      <c r="E380" s="1">
        <f>2024-1987</f>
        <v>37</v>
      </c>
      <c r="F380" s="3">
        <v>18966029</v>
      </c>
      <c r="G380" s="23" t="s">
        <v>3</v>
      </c>
      <c r="H380" s="23" t="s">
        <v>3</v>
      </c>
      <c r="I380" s="22" t="s">
        <v>4</v>
      </c>
      <c r="J380" s="23" t="s">
        <v>5</v>
      </c>
      <c r="K380" s="27"/>
      <c r="L380" s="27"/>
      <c r="M380" s="27"/>
    </row>
    <row r="381" spans="1:13" ht="15" customHeight="1" x14ac:dyDescent="0.25">
      <c r="A381" s="4" t="s">
        <v>278</v>
      </c>
      <c r="B381" s="11" t="s">
        <v>279</v>
      </c>
      <c r="C381" s="4" t="s">
        <v>7</v>
      </c>
      <c r="D381" s="5" t="d">
        <v>2007-02-28</v>
      </c>
      <c r="E381" s="4">
        <f>2025-2007</f>
        <v>18</v>
      </c>
      <c r="F381" s="6">
        <v>32012497</v>
      </c>
      <c r="G381" s="40" t="s">
        <v>962</v>
      </c>
      <c r="H381" s="4" t="s">
        <v>9</v>
      </c>
      <c r="I381" s="17" t="s">
        <v>4</v>
      </c>
      <c r="J381" s="17" t="s">
        <v>5</v>
      </c>
      <c r="K381" s="27"/>
      <c r="L381" s="27"/>
      <c r="M381" s="27"/>
    </row>
    <row r="382" spans="1:13" ht="18" customHeight="1" x14ac:dyDescent="0.25">
      <c r="A382" s="4" t="s">
        <v>280</v>
      </c>
      <c r="B382" s="11" t="s">
        <v>281</v>
      </c>
      <c r="C382" s="4" t="s">
        <v>2</v>
      </c>
      <c r="D382" s="5" t="d">
        <v>1952-02-27</v>
      </c>
      <c r="E382" s="4">
        <f>2025-1952</f>
        <v>73</v>
      </c>
      <c r="F382" s="6">
        <v>5243933</v>
      </c>
      <c r="G382" s="40" t="s">
        <v>962</v>
      </c>
      <c r="H382" s="4" t="s">
        <v>8</v>
      </c>
      <c r="I382" s="17" t="s">
        <v>31</v>
      </c>
      <c r="J382" s="17" t="s">
        <v>5</v>
      </c>
      <c r="K382" s="27"/>
      <c r="L382" s="27"/>
      <c r="M382" s="27"/>
    </row>
    <row r="383" spans="1:13" ht="15" customHeight="1" x14ac:dyDescent="0.25">
      <c r="A383" s="4" t="s">
        <v>282</v>
      </c>
      <c r="B383" s="11" t="s">
        <v>283</v>
      </c>
      <c r="C383" s="4" t="s">
        <v>7</v>
      </c>
      <c r="D383" s="5" t="d">
        <v>1949-11-12</v>
      </c>
      <c r="E383" s="4">
        <f>2024-1949</f>
        <v>75</v>
      </c>
      <c r="F383" s="6">
        <v>3497944</v>
      </c>
      <c r="G383" s="40" t="s">
        <v>962</v>
      </c>
      <c r="H383" s="4" t="s">
        <v>10</v>
      </c>
      <c r="I383" s="17" t="s">
        <v>31</v>
      </c>
      <c r="J383" s="17" t="s">
        <v>5</v>
      </c>
      <c r="K383" s="27"/>
      <c r="L383" s="27"/>
      <c r="M383" s="27"/>
    </row>
    <row r="384" spans="1:13" ht="13.5" customHeight="1" x14ac:dyDescent="0.25">
      <c r="A384" s="4" t="s">
        <v>284</v>
      </c>
      <c r="B384" s="11" t="s">
        <v>285</v>
      </c>
      <c r="C384" s="4" t="s">
        <v>7</v>
      </c>
      <c r="D384" s="5" t="d">
        <v>1978-01-15</v>
      </c>
      <c r="E384" s="4">
        <f>2025-1978</f>
        <v>47</v>
      </c>
      <c r="F384" s="6">
        <v>13097567</v>
      </c>
      <c r="G384" s="40" t="s">
        <v>962</v>
      </c>
      <c r="H384" s="39" t="s">
        <v>960</v>
      </c>
      <c r="I384" s="17" t="s">
        <v>31</v>
      </c>
      <c r="J384" s="17" t="s">
        <v>5</v>
      </c>
      <c r="K384" s="27"/>
      <c r="L384" s="27"/>
      <c r="M384" s="27"/>
    </row>
    <row r="385" spans="1:13" ht="15" customHeight="1" x14ac:dyDescent="0.25">
      <c r="A385" s="1" t="s">
        <v>690</v>
      </c>
      <c r="B385" s="22" t="s">
        <v>691</v>
      </c>
      <c r="C385" s="1" t="s">
        <v>2</v>
      </c>
      <c r="D385" s="2" t="d">
        <v>1972-04-25</v>
      </c>
      <c r="E385" s="22">
        <f>2024-1972</f>
        <v>52</v>
      </c>
      <c r="F385" s="3">
        <v>11462354</v>
      </c>
      <c r="G385" s="23" t="s">
        <v>3</v>
      </c>
      <c r="H385" s="23" t="s">
        <v>3</v>
      </c>
      <c r="I385" s="22" t="s">
        <v>4</v>
      </c>
      <c r="J385" s="22" t="s">
        <v>5</v>
      </c>
      <c r="K385" s="27"/>
      <c r="L385" s="27"/>
      <c r="M385" s="27"/>
    </row>
    <row r="386" spans="1:13" x14ac:dyDescent="0.25">
      <c r="A386" s="4" t="s">
        <v>692</v>
      </c>
      <c r="B386" s="17" t="s">
        <v>693</v>
      </c>
      <c r="C386" s="4" t="s">
        <v>2</v>
      </c>
      <c r="D386" s="5" t="d">
        <v>2014-03-21</v>
      </c>
      <c r="E386" s="17">
        <f>2024-2014</f>
        <v>10</v>
      </c>
      <c r="F386" s="6">
        <v>36007308</v>
      </c>
      <c r="G386" s="40" t="s">
        <v>962</v>
      </c>
      <c r="H386" s="4" t="s">
        <v>17</v>
      </c>
      <c r="I386" s="17" t="s">
        <v>4</v>
      </c>
      <c r="J386" s="17" t="s">
        <v>5</v>
      </c>
      <c r="K386" s="27"/>
      <c r="L386" s="27"/>
      <c r="M386" s="27"/>
    </row>
    <row r="387" spans="1:13" ht="13.5" customHeight="1" x14ac:dyDescent="0.25">
      <c r="A387" s="1" t="s">
        <v>534</v>
      </c>
      <c r="B387" s="22" t="s">
        <v>535</v>
      </c>
      <c r="C387" s="1" t="s">
        <v>2</v>
      </c>
      <c r="D387" s="2" t="d">
        <v>1962-09-13</v>
      </c>
      <c r="E387" s="22">
        <f>2024-1962</f>
        <v>62</v>
      </c>
      <c r="F387" s="3">
        <v>9176975</v>
      </c>
      <c r="G387" s="23" t="s">
        <v>3</v>
      </c>
      <c r="H387" s="23" t="s">
        <v>3</v>
      </c>
      <c r="I387" s="22" t="s">
        <v>4</v>
      </c>
      <c r="J387" s="23" t="s">
        <v>5</v>
      </c>
      <c r="K387" s="27"/>
      <c r="L387" s="27"/>
      <c r="M387" s="27"/>
    </row>
    <row r="388" spans="1:13" x14ac:dyDescent="0.25">
      <c r="A388" s="4" t="s">
        <v>536</v>
      </c>
      <c r="B388" s="17" t="s">
        <v>537</v>
      </c>
      <c r="C388" s="4" t="s">
        <v>7</v>
      </c>
      <c r="D388" s="5" t="d">
        <v>1959-08-02</v>
      </c>
      <c r="E388" s="17">
        <f>2024-1959</f>
        <v>65</v>
      </c>
      <c r="F388" s="6">
        <v>6592022</v>
      </c>
      <c r="G388" s="40" t="s">
        <v>962</v>
      </c>
      <c r="H388" s="39" t="s">
        <v>960</v>
      </c>
      <c r="I388" s="17" t="s">
        <v>4</v>
      </c>
      <c r="J388" s="17" t="s">
        <v>5</v>
      </c>
      <c r="K388" s="27"/>
      <c r="L388" s="27"/>
      <c r="M388" s="27"/>
    </row>
    <row r="389" spans="1:13" ht="13.5" customHeight="1" x14ac:dyDescent="0.25">
      <c r="A389" s="4" t="s">
        <v>538</v>
      </c>
      <c r="B389" s="17" t="s">
        <v>539</v>
      </c>
      <c r="C389" s="4" t="s">
        <v>7</v>
      </c>
      <c r="D389" s="5" t="d">
        <v>2015-10-19</v>
      </c>
      <c r="E389" s="17">
        <f>2024-2015</f>
        <v>9</v>
      </c>
      <c r="F389" s="6" t="s">
        <v>826</v>
      </c>
      <c r="G389" s="40" t="s">
        <v>962</v>
      </c>
      <c r="H389" s="4" t="s">
        <v>15</v>
      </c>
      <c r="I389" s="17" t="s">
        <v>4</v>
      </c>
      <c r="J389" s="17" t="s">
        <v>5</v>
      </c>
      <c r="K389" s="27"/>
      <c r="L389" s="27"/>
      <c r="M389" s="27"/>
    </row>
    <row r="390" spans="1:13" ht="14.25" customHeight="1" x14ac:dyDescent="0.25">
      <c r="A390" s="4" t="s">
        <v>540</v>
      </c>
      <c r="B390" s="17" t="s">
        <v>541</v>
      </c>
      <c r="C390" s="4" t="s">
        <v>7</v>
      </c>
      <c r="D390" s="5" t="d">
        <v>2024-02-20</v>
      </c>
      <c r="E390" s="17">
        <f>2025-2024</f>
        <v>1</v>
      </c>
      <c r="F390" s="6" t="s">
        <v>827</v>
      </c>
      <c r="G390" s="40" t="s">
        <v>962</v>
      </c>
      <c r="H390" s="4" t="s">
        <v>15</v>
      </c>
      <c r="I390" s="17" t="s">
        <v>4</v>
      </c>
      <c r="J390" s="17" t="s">
        <v>5</v>
      </c>
      <c r="K390" s="27"/>
      <c r="L390" s="27"/>
      <c r="M390" s="27"/>
    </row>
    <row r="391" spans="1:13" ht="12.75" customHeight="1" x14ac:dyDescent="0.25">
      <c r="A391" s="1" t="s">
        <v>396</v>
      </c>
      <c r="B391" s="22" t="s">
        <v>903</v>
      </c>
      <c r="C391" s="22" t="s">
        <v>2</v>
      </c>
      <c r="D391" s="2" t="d">
        <v>1950-10-08</v>
      </c>
      <c r="E391" s="1">
        <f>2024-1950</f>
        <v>74</v>
      </c>
      <c r="F391" s="3">
        <v>4490728</v>
      </c>
      <c r="G391" s="23" t="s">
        <v>3</v>
      </c>
      <c r="H391" s="23" t="s">
        <v>3</v>
      </c>
      <c r="I391" s="22" t="s">
        <v>4</v>
      </c>
      <c r="J391" s="23" t="s">
        <v>5</v>
      </c>
      <c r="K391" s="27"/>
      <c r="L391" s="27"/>
      <c r="M391" s="27"/>
    </row>
    <row r="392" spans="1:13" ht="15.75" customHeight="1" x14ac:dyDescent="0.25">
      <c r="A392" s="4" t="s">
        <v>397</v>
      </c>
      <c r="B392" s="17" t="s">
        <v>398</v>
      </c>
      <c r="C392" s="4" t="s">
        <v>7</v>
      </c>
      <c r="D392" s="5" t="d">
        <v>1958-01-19</v>
      </c>
      <c r="E392" s="17">
        <f>2025-1958</f>
        <v>67</v>
      </c>
      <c r="F392" s="6">
        <v>22661553</v>
      </c>
      <c r="G392" s="40" t="s">
        <v>962</v>
      </c>
      <c r="H392" s="39" t="s">
        <v>960</v>
      </c>
      <c r="I392" s="17" t="s">
        <v>4</v>
      </c>
      <c r="J392" s="17" t="s">
        <v>5</v>
      </c>
      <c r="K392" s="27"/>
      <c r="L392" s="27"/>
      <c r="M392" s="27"/>
    </row>
    <row r="393" spans="1:13" x14ac:dyDescent="0.25">
      <c r="A393" s="22" t="s">
        <v>54</v>
      </c>
      <c r="B393" s="12" t="s">
        <v>55</v>
      </c>
      <c r="C393" s="22" t="s">
        <v>7</v>
      </c>
      <c r="D393" s="2" t="d">
        <v>1950-01-14</v>
      </c>
      <c r="E393" s="22">
        <f>2025-1950</f>
        <v>75</v>
      </c>
      <c r="F393" s="3">
        <v>3993277</v>
      </c>
      <c r="G393" s="23" t="s">
        <v>3</v>
      </c>
      <c r="H393" s="23" t="s">
        <v>3</v>
      </c>
      <c r="I393" s="23" t="s">
        <v>31</v>
      </c>
      <c r="J393" s="23" t="s">
        <v>5</v>
      </c>
      <c r="K393" s="27"/>
      <c r="L393" s="27"/>
      <c r="M393" s="27"/>
    </row>
    <row r="394" spans="1:13" ht="13.5" customHeight="1" x14ac:dyDescent="0.25">
      <c r="A394" s="4" t="s">
        <v>61</v>
      </c>
      <c r="B394" s="17" t="s">
        <v>60</v>
      </c>
      <c r="C394" s="4" t="s">
        <v>2</v>
      </c>
      <c r="D394" s="5" t="d">
        <v>1953-01-01</v>
      </c>
      <c r="E394" s="17">
        <f>2025-1953</f>
        <v>72</v>
      </c>
      <c r="F394" s="6">
        <v>3941232</v>
      </c>
      <c r="G394" s="40" t="s">
        <v>962</v>
      </c>
      <c r="H394" s="4" t="s">
        <v>8</v>
      </c>
      <c r="I394" s="17" t="s">
        <v>31</v>
      </c>
      <c r="J394" s="17" t="s">
        <v>5</v>
      </c>
      <c r="K394" s="27"/>
      <c r="L394" s="27"/>
      <c r="M394" s="27"/>
    </row>
    <row r="395" spans="1:13" ht="15" customHeight="1" x14ac:dyDescent="0.25">
      <c r="A395" s="4" t="s">
        <v>59</v>
      </c>
      <c r="B395" s="17" t="s">
        <v>58</v>
      </c>
      <c r="C395" s="4" t="s">
        <v>2</v>
      </c>
      <c r="D395" s="5" t="d">
        <v>2008-07-24</v>
      </c>
      <c r="E395" s="17">
        <f>2024-2008</f>
        <v>16</v>
      </c>
      <c r="F395" s="6">
        <v>32451558</v>
      </c>
      <c r="G395" s="40" t="s">
        <v>962</v>
      </c>
      <c r="H395" s="4" t="s">
        <v>6</v>
      </c>
      <c r="I395" s="17" t="s">
        <v>4</v>
      </c>
      <c r="J395" s="17" t="s">
        <v>5</v>
      </c>
      <c r="K395" s="27"/>
      <c r="L395" s="27"/>
      <c r="M395" s="27"/>
    </row>
    <row r="396" spans="1:13" x14ac:dyDescent="0.25">
      <c r="A396" s="22" t="s">
        <v>757</v>
      </c>
      <c r="B396" s="22" t="s">
        <v>758</v>
      </c>
      <c r="C396" s="22" t="s">
        <v>2</v>
      </c>
      <c r="D396" s="28" t="d">
        <v>1989-01-23</v>
      </c>
      <c r="E396" s="22">
        <f>2024-1989</f>
        <v>35</v>
      </c>
      <c r="F396" s="7">
        <v>18308521</v>
      </c>
      <c r="G396" s="22" t="s">
        <v>3</v>
      </c>
      <c r="H396" s="22" t="s">
        <v>3</v>
      </c>
      <c r="I396" s="22" t="s">
        <v>4</v>
      </c>
      <c r="J396" s="22" t="s">
        <v>5</v>
      </c>
      <c r="K396" s="27"/>
      <c r="L396" s="27"/>
      <c r="M396" s="27"/>
    </row>
    <row r="397" spans="1:13" x14ac:dyDescent="0.25">
      <c r="A397" s="17" t="s">
        <v>759</v>
      </c>
      <c r="B397" s="17" t="s">
        <v>760</v>
      </c>
      <c r="C397" s="17" t="s">
        <v>7</v>
      </c>
      <c r="D397" s="32" t="d">
        <v>2012-05-29</v>
      </c>
      <c r="E397" s="17">
        <f>2024-2012</f>
        <v>12</v>
      </c>
      <c r="F397" s="8">
        <v>34225009</v>
      </c>
      <c r="G397" s="40" t="s">
        <v>962</v>
      </c>
      <c r="H397" s="17" t="s">
        <v>9</v>
      </c>
      <c r="I397" s="17" t="s">
        <v>4</v>
      </c>
      <c r="J397" s="17" t="s">
        <v>5</v>
      </c>
      <c r="K397" s="27"/>
      <c r="L397" s="27"/>
      <c r="M397" s="27"/>
    </row>
    <row r="398" spans="1:13" x14ac:dyDescent="0.25">
      <c r="A398" s="17" t="s">
        <v>759</v>
      </c>
      <c r="B398" s="17" t="s">
        <v>761</v>
      </c>
      <c r="C398" s="17" t="s">
        <v>7</v>
      </c>
      <c r="D398" s="32" t="d">
        <v>2007-03-11</v>
      </c>
      <c r="E398" s="17">
        <f>2024-2007</f>
        <v>17</v>
      </c>
      <c r="F398" s="8">
        <v>31999043</v>
      </c>
      <c r="G398" s="40" t="s">
        <v>962</v>
      </c>
      <c r="H398" s="17" t="s">
        <v>9</v>
      </c>
      <c r="I398" s="17" t="s">
        <v>4</v>
      </c>
      <c r="J398" s="17" t="s">
        <v>5</v>
      </c>
      <c r="K398" s="27"/>
      <c r="L398" s="27"/>
      <c r="M398" s="27"/>
    </row>
    <row r="399" spans="1:13" x14ac:dyDescent="0.25">
      <c r="A399" s="17" t="s">
        <v>762</v>
      </c>
      <c r="B399" s="17" t="s">
        <v>763</v>
      </c>
      <c r="C399" s="17" t="s">
        <v>7</v>
      </c>
      <c r="D399" s="32" t="d">
        <v>1983-11-18</v>
      </c>
      <c r="E399" s="17">
        <f>2024-1983</f>
        <v>41</v>
      </c>
      <c r="F399" s="8">
        <v>15755909</v>
      </c>
      <c r="G399" s="40" t="s">
        <v>962</v>
      </c>
      <c r="H399" s="39" t="s">
        <v>960</v>
      </c>
      <c r="I399" s="17" t="s">
        <v>4</v>
      </c>
      <c r="J399" s="17" t="s">
        <v>5</v>
      </c>
      <c r="K399" s="27"/>
      <c r="L399" s="27"/>
      <c r="M399" s="27"/>
    </row>
    <row r="400" spans="1:13" x14ac:dyDescent="0.25">
      <c r="A400" s="17" t="s">
        <v>764</v>
      </c>
      <c r="B400" s="17" t="s">
        <v>765</v>
      </c>
      <c r="C400" s="17" t="s">
        <v>7</v>
      </c>
      <c r="D400" s="32" t="d">
        <v>2016-04-24</v>
      </c>
      <c r="E400" s="17">
        <f>2024-2016</f>
        <v>8</v>
      </c>
      <c r="F400" s="8" t="s">
        <v>855</v>
      </c>
      <c r="G400" s="40" t="s">
        <v>962</v>
      </c>
      <c r="H400" s="17" t="s">
        <v>9</v>
      </c>
      <c r="I400" s="17" t="s">
        <v>4</v>
      </c>
      <c r="J400" s="17" t="s">
        <v>5</v>
      </c>
      <c r="K400" s="27"/>
      <c r="L400" s="27"/>
      <c r="M400" s="27"/>
    </row>
    <row r="401" spans="1:13" x14ac:dyDescent="0.25">
      <c r="A401" s="17" t="s">
        <v>764</v>
      </c>
      <c r="B401" s="17" t="s">
        <v>766</v>
      </c>
      <c r="C401" s="17" t="s">
        <v>7</v>
      </c>
      <c r="D401" s="32" t="d">
        <v>2016-04-24</v>
      </c>
      <c r="E401" s="17">
        <f>2024-2016</f>
        <v>8</v>
      </c>
      <c r="F401" s="8" t="s">
        <v>856</v>
      </c>
      <c r="G401" s="40" t="s">
        <v>962</v>
      </c>
      <c r="H401" s="17" t="s">
        <v>9</v>
      </c>
      <c r="I401" s="17" t="s">
        <v>4</v>
      </c>
      <c r="J401" s="17" t="s">
        <v>5</v>
      </c>
      <c r="K401" s="27"/>
      <c r="L401" s="27"/>
      <c r="M401" s="27"/>
    </row>
    <row r="402" spans="1:13" ht="18" customHeight="1" x14ac:dyDescent="0.25">
      <c r="A402" s="1" t="s">
        <v>251</v>
      </c>
      <c r="B402" s="22" t="s">
        <v>252</v>
      </c>
      <c r="C402" s="22" t="s">
        <v>2</v>
      </c>
      <c r="D402" s="2" t="d">
        <v>1965-12-11</v>
      </c>
      <c r="E402" s="1">
        <f>2024-1965</f>
        <v>59</v>
      </c>
      <c r="F402" s="3">
        <v>8710773</v>
      </c>
      <c r="G402" s="23" t="s">
        <v>3</v>
      </c>
      <c r="H402" s="23" t="s">
        <v>3</v>
      </c>
      <c r="I402" s="22" t="s">
        <v>30</v>
      </c>
      <c r="J402" s="23" t="s">
        <v>5</v>
      </c>
      <c r="K402" s="27"/>
      <c r="L402" s="27"/>
      <c r="M402" s="27"/>
    </row>
    <row r="403" spans="1:13" ht="20.25" customHeight="1" x14ac:dyDescent="0.25">
      <c r="A403" s="1" t="s">
        <v>634</v>
      </c>
      <c r="B403" s="10" t="s">
        <v>635</v>
      </c>
      <c r="C403" s="1" t="s">
        <v>2</v>
      </c>
      <c r="D403" s="2" t="d">
        <v>1970-06-15</v>
      </c>
      <c r="E403" s="1">
        <f>2024-1970</f>
        <v>54</v>
      </c>
      <c r="F403" s="3">
        <v>11461956</v>
      </c>
      <c r="G403" s="23" t="s">
        <v>3</v>
      </c>
      <c r="H403" s="23" t="s">
        <v>3</v>
      </c>
      <c r="I403" s="22" t="s">
        <v>31</v>
      </c>
      <c r="J403" s="23" t="s">
        <v>5</v>
      </c>
      <c r="K403" s="27"/>
      <c r="L403" s="27"/>
      <c r="M403" s="27"/>
    </row>
    <row r="404" spans="1:13" x14ac:dyDescent="0.25">
      <c r="A404" s="4" t="s">
        <v>160</v>
      </c>
      <c r="B404" s="11" t="s">
        <v>636</v>
      </c>
      <c r="C404" s="4" t="s">
        <v>2</v>
      </c>
      <c r="D404" s="5" t="d">
        <v>2012-09-13</v>
      </c>
      <c r="E404" s="4">
        <f>2024-2012</f>
        <v>12</v>
      </c>
      <c r="F404" s="8">
        <v>34394195</v>
      </c>
      <c r="G404" s="40" t="s">
        <v>962</v>
      </c>
      <c r="H404" s="4" t="s">
        <v>17</v>
      </c>
      <c r="I404" s="17" t="s">
        <v>4</v>
      </c>
      <c r="J404" s="17" t="s">
        <v>5</v>
      </c>
      <c r="K404" s="27"/>
      <c r="L404" s="27"/>
      <c r="M404" s="27"/>
    </row>
    <row r="405" spans="1:13" ht="18" customHeight="1" x14ac:dyDescent="0.25">
      <c r="A405" s="4" t="s">
        <v>160</v>
      </c>
      <c r="B405" s="4" t="s">
        <v>637</v>
      </c>
      <c r="C405" s="4" t="s">
        <v>2</v>
      </c>
      <c r="D405" s="5" t="d">
        <v>2018-03-13</v>
      </c>
      <c r="E405" s="4">
        <f>2024-2018</f>
        <v>6</v>
      </c>
      <c r="F405" s="8" t="s">
        <v>842</v>
      </c>
      <c r="G405" s="40" t="s">
        <v>962</v>
      </c>
      <c r="H405" s="4" t="s">
        <v>17</v>
      </c>
      <c r="I405" s="17" t="s">
        <v>4</v>
      </c>
      <c r="J405" s="17" t="s">
        <v>5</v>
      </c>
      <c r="K405" s="27"/>
      <c r="L405" s="27"/>
      <c r="M405" s="27"/>
    </row>
    <row r="406" spans="1:13" ht="13.5" customHeight="1" x14ac:dyDescent="0.25">
      <c r="A406" s="1" t="s">
        <v>638</v>
      </c>
      <c r="B406" s="10" t="s">
        <v>639</v>
      </c>
      <c r="C406" s="2" t="s">
        <v>2</v>
      </c>
      <c r="D406" s="2" t="d">
        <v>1995-03-26</v>
      </c>
      <c r="E406" s="1">
        <f>2024-1995</f>
        <v>29</v>
      </c>
      <c r="F406" s="7">
        <v>23717524</v>
      </c>
      <c r="G406" s="23" t="s">
        <v>3</v>
      </c>
      <c r="H406" s="23" t="s">
        <v>3</v>
      </c>
      <c r="I406" s="22" t="s">
        <v>4</v>
      </c>
      <c r="J406" s="23" t="s">
        <v>5</v>
      </c>
      <c r="K406" s="27"/>
      <c r="L406" s="27"/>
      <c r="M406" s="27"/>
    </row>
    <row r="407" spans="1:13" x14ac:dyDescent="0.25">
      <c r="A407" s="22" t="s">
        <v>867</v>
      </c>
      <c r="B407" s="22" t="s">
        <v>868</v>
      </c>
      <c r="C407" s="22" t="s">
        <v>7</v>
      </c>
      <c r="D407" s="28" t="d">
        <v>1988-12-11</v>
      </c>
      <c r="E407" s="22">
        <f>2024-1988</f>
        <v>36</v>
      </c>
      <c r="F407" s="7">
        <v>18964841</v>
      </c>
      <c r="G407" s="22" t="s">
        <v>3</v>
      </c>
      <c r="H407" s="22" t="s">
        <v>3</v>
      </c>
      <c r="I407" s="22" t="s">
        <v>4</v>
      </c>
      <c r="J407" s="22" t="s">
        <v>5</v>
      </c>
      <c r="K407" s="27"/>
      <c r="L407" s="27"/>
      <c r="M407" s="27"/>
    </row>
    <row r="408" spans="1:13" x14ac:dyDescent="0.25">
      <c r="A408" s="17" t="s">
        <v>869</v>
      </c>
      <c r="B408" s="17" t="s">
        <v>870</v>
      </c>
      <c r="C408" s="17" t="s">
        <v>2</v>
      </c>
      <c r="D408" s="32" t="d">
        <v>1988-05-03</v>
      </c>
      <c r="E408" s="17">
        <f>2024-1988</f>
        <v>36</v>
      </c>
      <c r="F408" s="8">
        <v>18965192</v>
      </c>
      <c r="G408" s="40" t="s">
        <v>962</v>
      </c>
      <c r="H408" s="39" t="s">
        <v>961</v>
      </c>
      <c r="I408" s="17" t="s">
        <v>4</v>
      </c>
      <c r="J408" s="17" t="s">
        <v>5</v>
      </c>
      <c r="K408" s="27"/>
      <c r="L408" s="27"/>
      <c r="M408" s="27"/>
    </row>
    <row r="409" spans="1:13" x14ac:dyDescent="0.25">
      <c r="A409" s="17" t="s">
        <v>871</v>
      </c>
      <c r="B409" s="17" t="s">
        <v>872</v>
      </c>
      <c r="C409" s="17" t="s">
        <v>7</v>
      </c>
      <c r="D409" s="32" t="d">
        <v>2014-06-02</v>
      </c>
      <c r="E409" s="17">
        <f>2024-2014</f>
        <v>10</v>
      </c>
      <c r="F409" s="8">
        <v>36106921</v>
      </c>
      <c r="G409" s="40" t="s">
        <v>962</v>
      </c>
      <c r="H409" s="17" t="s">
        <v>9</v>
      </c>
      <c r="I409" s="17" t="s">
        <v>4</v>
      </c>
      <c r="J409" s="17" t="s">
        <v>5</v>
      </c>
      <c r="K409" s="27"/>
      <c r="L409" s="27"/>
      <c r="M409" s="27"/>
    </row>
    <row r="410" spans="1:13" x14ac:dyDescent="0.25">
      <c r="A410" s="17" t="s">
        <v>873</v>
      </c>
      <c r="B410" s="17" t="s">
        <v>874</v>
      </c>
      <c r="C410" s="17" t="s">
        <v>7</v>
      </c>
      <c r="D410" s="32" t="d">
        <v>1952-01-11</v>
      </c>
      <c r="E410" s="17">
        <f>2025-1952</f>
        <v>73</v>
      </c>
      <c r="F410" s="8">
        <v>4491285</v>
      </c>
      <c r="G410" s="40" t="s">
        <v>962</v>
      </c>
      <c r="H410" s="17" t="s">
        <v>10</v>
      </c>
      <c r="I410" s="17" t="s">
        <v>4</v>
      </c>
      <c r="J410" s="17" t="s">
        <v>5</v>
      </c>
      <c r="K410" s="27"/>
      <c r="L410" s="27"/>
      <c r="M410" s="27"/>
    </row>
    <row r="411" spans="1:13" x14ac:dyDescent="0.25">
      <c r="A411" s="17" t="s">
        <v>875</v>
      </c>
      <c r="B411" s="17" t="s">
        <v>876</v>
      </c>
      <c r="C411" s="17" t="s">
        <v>2</v>
      </c>
      <c r="D411" s="32" t="d">
        <v>1954-03-11</v>
      </c>
      <c r="E411" s="17">
        <f>2024-1954</f>
        <v>70</v>
      </c>
      <c r="F411" s="8">
        <v>8007323</v>
      </c>
      <c r="G411" s="40" t="s">
        <v>962</v>
      </c>
      <c r="H411" s="17" t="s">
        <v>8</v>
      </c>
      <c r="I411" s="17" t="s">
        <v>4</v>
      </c>
      <c r="J411" s="17" t="s">
        <v>5</v>
      </c>
      <c r="K411" s="27"/>
      <c r="L411" s="27"/>
      <c r="M411" s="27"/>
    </row>
    <row r="412" spans="1:13" x14ac:dyDescent="0.25">
      <c r="A412" s="22" t="s">
        <v>865</v>
      </c>
      <c r="B412" s="22" t="s">
        <v>864</v>
      </c>
      <c r="C412" s="22" t="s">
        <v>2</v>
      </c>
      <c r="D412" s="28" t="d">
        <v>1975-02-18</v>
      </c>
      <c r="E412" s="22">
        <f>2025-1975</f>
        <v>50</v>
      </c>
      <c r="F412" s="7">
        <v>12332068</v>
      </c>
      <c r="G412" s="22" t="s">
        <v>3</v>
      </c>
      <c r="H412" s="22" t="s">
        <v>3</v>
      </c>
      <c r="I412" s="22" t="s">
        <v>4</v>
      </c>
      <c r="J412" s="22" t="s">
        <v>5</v>
      </c>
      <c r="K412" s="27"/>
      <c r="L412" s="27"/>
      <c r="M412" s="27"/>
    </row>
    <row r="413" spans="1:13" x14ac:dyDescent="0.25">
      <c r="A413" s="17" t="s">
        <v>866</v>
      </c>
      <c r="B413" s="17" t="s">
        <v>864</v>
      </c>
      <c r="C413" s="17" t="s">
        <v>2</v>
      </c>
      <c r="D413" s="32" t="d">
        <v>2006-11-27</v>
      </c>
      <c r="E413" s="17">
        <f>2024-2006</f>
        <v>18</v>
      </c>
      <c r="F413" s="8">
        <v>31753853</v>
      </c>
      <c r="G413" s="40" t="s">
        <v>962</v>
      </c>
      <c r="H413" s="17" t="s">
        <v>6</v>
      </c>
      <c r="I413" s="17" t="s">
        <v>4</v>
      </c>
      <c r="J413" s="17" t="s">
        <v>5</v>
      </c>
      <c r="K413" s="27"/>
      <c r="L413" s="27"/>
      <c r="M413" s="27"/>
    </row>
    <row r="414" spans="1:13" x14ac:dyDescent="0.25">
      <c r="A414" s="22" t="s">
        <v>753</v>
      </c>
      <c r="B414" s="22" t="s">
        <v>754</v>
      </c>
      <c r="C414" s="22" t="s">
        <v>7</v>
      </c>
      <c r="D414" s="28" t="d">
        <v>1955-04-02</v>
      </c>
      <c r="E414" s="22">
        <f>2024-1955</f>
        <v>69</v>
      </c>
      <c r="F414" s="7">
        <v>4488362</v>
      </c>
      <c r="G414" s="22" t="s">
        <v>3</v>
      </c>
      <c r="H414" s="22" t="s">
        <v>3</v>
      </c>
      <c r="I414" s="22" t="s">
        <v>31</v>
      </c>
      <c r="J414" s="22" t="s">
        <v>5</v>
      </c>
      <c r="K414" s="27"/>
      <c r="L414" s="27"/>
      <c r="M414" s="27"/>
    </row>
    <row r="415" spans="1:13" x14ac:dyDescent="0.25">
      <c r="A415" s="17" t="s">
        <v>755</v>
      </c>
      <c r="B415" s="17" t="s">
        <v>756</v>
      </c>
      <c r="C415" s="17" t="s">
        <v>2</v>
      </c>
      <c r="D415" s="32" t="d">
        <v>1955-11-14</v>
      </c>
      <c r="E415" s="17">
        <f>2024-1955</f>
        <v>69</v>
      </c>
      <c r="F415" s="8">
        <v>4703681</v>
      </c>
      <c r="G415" s="40" t="s">
        <v>962</v>
      </c>
      <c r="H415" s="39" t="s">
        <v>961</v>
      </c>
      <c r="I415" s="17" t="s">
        <v>31</v>
      </c>
      <c r="J415" s="17" t="s">
        <v>5</v>
      </c>
      <c r="K415" s="27"/>
      <c r="L415" s="27"/>
      <c r="M415" s="27"/>
    </row>
    <row r="416" spans="1:13" ht="12.75" customHeight="1" x14ac:dyDescent="0.25">
      <c r="A416" s="1" t="s">
        <v>593</v>
      </c>
      <c r="B416" s="22" t="s">
        <v>594</v>
      </c>
      <c r="C416" s="1" t="s">
        <v>7</v>
      </c>
      <c r="D416" s="2" t="d">
        <v>1956-10-30</v>
      </c>
      <c r="E416" s="22">
        <f>2024-1956</f>
        <v>68</v>
      </c>
      <c r="F416" s="7">
        <v>5041750</v>
      </c>
      <c r="G416" s="23" t="s">
        <v>3</v>
      </c>
      <c r="H416" s="23" t="s">
        <v>3</v>
      </c>
      <c r="I416" s="22" t="s">
        <v>4</v>
      </c>
      <c r="J416" s="23" t="s">
        <v>5</v>
      </c>
      <c r="K416" s="27"/>
      <c r="L416" s="27"/>
      <c r="M416" s="27"/>
    </row>
    <row r="417" spans="1:13" ht="12.75" customHeight="1" x14ac:dyDescent="0.25">
      <c r="A417" s="4" t="s">
        <v>595</v>
      </c>
      <c r="B417" s="17" t="s">
        <v>596</v>
      </c>
      <c r="C417" s="4" t="s">
        <v>2</v>
      </c>
      <c r="D417" s="5" t="d">
        <v>1959-10-05</v>
      </c>
      <c r="E417" s="17">
        <f>2024-1959</f>
        <v>65</v>
      </c>
      <c r="F417" s="6">
        <v>9052431</v>
      </c>
      <c r="G417" s="40" t="s">
        <v>962</v>
      </c>
      <c r="H417" s="39" t="s">
        <v>961</v>
      </c>
      <c r="I417" s="17" t="s">
        <v>31</v>
      </c>
      <c r="J417" s="17" t="s">
        <v>5</v>
      </c>
      <c r="K417" s="27"/>
      <c r="L417" s="27"/>
      <c r="M417" s="27"/>
    </row>
    <row r="418" spans="1:13" ht="14.25" customHeight="1" x14ac:dyDescent="0.25">
      <c r="A418" s="4" t="s">
        <v>597</v>
      </c>
      <c r="B418" s="17" t="s">
        <v>598</v>
      </c>
      <c r="C418" s="4" t="s">
        <v>2</v>
      </c>
      <c r="D418" s="5" t="d">
        <v>2012-05-19</v>
      </c>
      <c r="E418" s="17">
        <f>2024-2012</f>
        <v>12</v>
      </c>
      <c r="F418" s="6">
        <v>36078227</v>
      </c>
      <c r="G418" s="40" t="s">
        <v>962</v>
      </c>
      <c r="H418" s="4" t="s">
        <v>17</v>
      </c>
      <c r="I418" s="17" t="s">
        <v>4</v>
      </c>
      <c r="J418" s="17" t="s">
        <v>5</v>
      </c>
      <c r="K418" s="27"/>
      <c r="L418" s="27"/>
      <c r="M418" s="27"/>
    </row>
    <row r="419" spans="1:13" ht="18.75" customHeight="1" x14ac:dyDescent="0.25">
      <c r="A419" s="4" t="s">
        <v>599</v>
      </c>
      <c r="B419" s="17" t="s">
        <v>600</v>
      </c>
      <c r="C419" s="4" t="s">
        <v>2</v>
      </c>
      <c r="D419" s="5" t="d">
        <v>2016-07-09</v>
      </c>
      <c r="E419" s="17">
        <f>2024-2016</f>
        <v>8</v>
      </c>
      <c r="F419" s="6" t="s">
        <v>834</v>
      </c>
      <c r="G419" s="40" t="s">
        <v>962</v>
      </c>
      <c r="H419" s="4" t="s">
        <v>17</v>
      </c>
      <c r="I419" s="17" t="s">
        <v>4</v>
      </c>
      <c r="J419" s="17" t="s">
        <v>5</v>
      </c>
      <c r="K419" s="27"/>
      <c r="L419" s="27"/>
      <c r="M419" s="27"/>
    </row>
    <row r="420" spans="1:13" ht="15.75" customHeight="1" x14ac:dyDescent="0.25">
      <c r="A420" s="4" t="s">
        <v>601</v>
      </c>
      <c r="B420" s="17" t="s">
        <v>602</v>
      </c>
      <c r="C420" s="4" t="s">
        <v>2</v>
      </c>
      <c r="D420" s="5" t="d">
        <v>2021-11-29</v>
      </c>
      <c r="E420" s="17">
        <f>2024-2021</f>
        <v>3</v>
      </c>
      <c r="F420" s="6" t="s">
        <v>835</v>
      </c>
      <c r="G420" s="40" t="s">
        <v>962</v>
      </c>
      <c r="H420" s="4" t="s">
        <v>17</v>
      </c>
      <c r="I420" s="17" t="s">
        <v>4</v>
      </c>
      <c r="J420" s="17" t="s">
        <v>5</v>
      </c>
      <c r="K420" s="27"/>
      <c r="L420" s="27"/>
      <c r="M420" s="27"/>
    </row>
    <row r="421" spans="1:13" ht="16.5" customHeight="1" x14ac:dyDescent="0.25">
      <c r="A421" s="4" t="s">
        <v>603</v>
      </c>
      <c r="B421" s="17" t="s">
        <v>604</v>
      </c>
      <c r="C421" s="4" t="s">
        <v>2</v>
      </c>
      <c r="D421" s="5" t="d">
        <v>2015-04-26</v>
      </c>
      <c r="E421" s="17">
        <f>2024-2015</f>
        <v>9</v>
      </c>
      <c r="F421" s="6" t="s">
        <v>836</v>
      </c>
      <c r="G421" s="40" t="s">
        <v>962</v>
      </c>
      <c r="H421" s="4" t="s">
        <v>17</v>
      </c>
      <c r="I421" s="17" t="s">
        <v>4</v>
      </c>
      <c r="J421" s="17" t="s">
        <v>5</v>
      </c>
      <c r="K421" s="27"/>
      <c r="L421" s="27"/>
      <c r="M421" s="27"/>
    </row>
    <row r="422" spans="1:13" ht="15.75" customHeight="1" x14ac:dyDescent="0.25">
      <c r="A422" s="1" t="s">
        <v>878</v>
      </c>
      <c r="B422" s="22" t="s">
        <v>877</v>
      </c>
      <c r="C422" s="1" t="s">
        <v>2</v>
      </c>
      <c r="D422" s="2" t="d">
        <v>1957-01-10</v>
      </c>
      <c r="E422" s="22">
        <f>2025-1957</f>
        <v>68</v>
      </c>
      <c r="F422" s="3">
        <v>8007479</v>
      </c>
      <c r="G422" s="23" t="s">
        <v>3</v>
      </c>
      <c r="H422" s="23" t="s">
        <v>3</v>
      </c>
      <c r="I422" s="22" t="s">
        <v>4</v>
      </c>
      <c r="J422" s="23" t="s">
        <v>5</v>
      </c>
      <c r="K422" s="27"/>
      <c r="L422" s="27"/>
      <c r="M422" s="27"/>
    </row>
    <row r="423" spans="1:13" ht="15" customHeight="1" x14ac:dyDescent="0.25">
      <c r="A423" s="4" t="s">
        <v>880</v>
      </c>
      <c r="B423" s="17" t="s">
        <v>879</v>
      </c>
      <c r="C423" s="4" t="s">
        <v>7</v>
      </c>
      <c r="D423" s="5" t="d">
        <v>2014-02-26</v>
      </c>
      <c r="E423" s="17">
        <f>2025-2014</f>
        <v>11</v>
      </c>
      <c r="F423" s="6">
        <v>36239795</v>
      </c>
      <c r="G423" s="40" t="s">
        <v>962</v>
      </c>
      <c r="H423" s="4" t="s">
        <v>15</v>
      </c>
      <c r="I423" s="17" t="s">
        <v>4</v>
      </c>
      <c r="J423" s="17" t="s">
        <v>5</v>
      </c>
      <c r="K423" s="27"/>
      <c r="L423" s="27"/>
      <c r="M423" s="27"/>
    </row>
    <row r="424" spans="1:13" ht="15.75" customHeight="1" x14ac:dyDescent="0.25">
      <c r="A424" s="4" t="s">
        <v>882</v>
      </c>
      <c r="B424" s="17" t="s">
        <v>883</v>
      </c>
      <c r="C424" s="4" t="s">
        <v>7</v>
      </c>
      <c r="D424" s="5" t="d">
        <v>2018-06-05</v>
      </c>
      <c r="E424" s="17">
        <f>2025-2018</f>
        <v>7</v>
      </c>
      <c r="F424" s="38" t="s">
        <v>956</v>
      </c>
      <c r="G424" s="40" t="s">
        <v>962</v>
      </c>
      <c r="H424" s="4" t="s">
        <v>15</v>
      </c>
      <c r="I424" s="17" t="s">
        <v>4</v>
      </c>
      <c r="J424" s="17" t="s">
        <v>5</v>
      </c>
      <c r="K424" s="27"/>
      <c r="L424" s="27"/>
      <c r="M424" s="27"/>
    </row>
    <row r="425" spans="1:13" x14ac:dyDescent="0.25">
      <c r="A425" s="4" t="s">
        <v>881</v>
      </c>
      <c r="B425" s="17" t="s">
        <v>884</v>
      </c>
      <c r="C425" s="4" t="s">
        <v>2</v>
      </c>
      <c r="D425" s="5" t="d">
        <v>2016-03-10</v>
      </c>
      <c r="E425" s="17">
        <f>2025-2016</f>
        <v>9</v>
      </c>
      <c r="F425" s="38" t="s">
        <v>957</v>
      </c>
      <c r="G425" s="40" t="s">
        <v>962</v>
      </c>
      <c r="H425" s="4" t="s">
        <v>17</v>
      </c>
      <c r="I425" s="17" t="s">
        <v>4</v>
      </c>
      <c r="J425" s="17" t="s">
        <v>5</v>
      </c>
      <c r="K425" s="27"/>
      <c r="L425" s="27"/>
      <c r="M425" s="27"/>
    </row>
    <row r="426" spans="1:13" ht="15" customHeight="1" x14ac:dyDescent="0.25">
      <c r="A426" s="1" t="s">
        <v>640</v>
      </c>
      <c r="B426" s="10" t="s">
        <v>641</v>
      </c>
      <c r="C426" s="1" t="s">
        <v>2</v>
      </c>
      <c r="D426" s="2" t="d">
        <v>1964-04-30</v>
      </c>
      <c r="E426" s="22">
        <f>2024-1964</f>
        <v>60</v>
      </c>
      <c r="F426" s="7">
        <v>8032437</v>
      </c>
      <c r="G426" s="23" t="s">
        <v>3</v>
      </c>
      <c r="H426" s="23" t="s">
        <v>3</v>
      </c>
      <c r="I426" s="22" t="s">
        <v>30</v>
      </c>
      <c r="J426" s="23" t="s">
        <v>5</v>
      </c>
      <c r="K426" s="27"/>
      <c r="L426" s="27"/>
      <c r="M426" s="27"/>
    </row>
    <row r="427" spans="1:13" ht="15" customHeight="1" x14ac:dyDescent="0.25">
      <c r="A427" s="4" t="s">
        <v>642</v>
      </c>
      <c r="B427" s="17" t="s">
        <v>643</v>
      </c>
      <c r="C427" s="4" t="s">
        <v>7</v>
      </c>
      <c r="D427" s="5" t="d">
        <v>2013-01-21</v>
      </c>
      <c r="E427" s="17">
        <f>2025-2013</f>
        <v>12</v>
      </c>
      <c r="F427" s="6">
        <v>34801455</v>
      </c>
      <c r="G427" s="40" t="s">
        <v>962</v>
      </c>
      <c r="H427" s="4" t="s">
        <v>18</v>
      </c>
      <c r="I427" s="17" t="s">
        <v>4</v>
      </c>
      <c r="J427" s="17" t="s">
        <v>5</v>
      </c>
      <c r="K427" s="27"/>
      <c r="L427" s="27"/>
      <c r="M427" s="27"/>
    </row>
    <row r="428" spans="1:13" ht="15.75" customHeight="1" x14ac:dyDescent="0.25">
      <c r="A428" s="1" t="s">
        <v>560</v>
      </c>
      <c r="B428" s="10" t="s">
        <v>561</v>
      </c>
      <c r="C428" s="1" t="s">
        <v>2</v>
      </c>
      <c r="D428" s="2" t="d">
        <v>1970-06-28</v>
      </c>
      <c r="E428" s="1">
        <f>2024-1970</f>
        <v>54</v>
      </c>
      <c r="F428" s="3">
        <v>11461179</v>
      </c>
      <c r="G428" s="23" t="s">
        <v>3</v>
      </c>
      <c r="H428" s="23" t="s">
        <v>3</v>
      </c>
      <c r="I428" s="22" t="s">
        <v>31</v>
      </c>
      <c r="J428" s="23" t="s">
        <v>5</v>
      </c>
      <c r="K428" s="27"/>
      <c r="L428" s="27"/>
      <c r="M428" s="27"/>
    </row>
    <row r="429" spans="1:13" ht="15.75" customHeight="1" x14ac:dyDescent="0.25">
      <c r="A429" s="4" t="s">
        <v>562</v>
      </c>
      <c r="B429" s="11" t="s">
        <v>563</v>
      </c>
      <c r="C429" s="4" t="s">
        <v>7</v>
      </c>
      <c r="D429" s="5" t="d">
        <v>1964-10-03</v>
      </c>
      <c r="E429" s="4">
        <f>2024-1964</f>
        <v>60</v>
      </c>
      <c r="F429" s="6">
        <v>11958278</v>
      </c>
      <c r="G429" s="40" t="s">
        <v>962</v>
      </c>
      <c r="H429" s="39" t="s">
        <v>960</v>
      </c>
      <c r="I429" s="17" t="s">
        <v>31</v>
      </c>
      <c r="J429" s="17" t="s">
        <v>5</v>
      </c>
      <c r="K429" s="27"/>
      <c r="L429" s="27"/>
      <c r="M429" s="27"/>
    </row>
    <row r="430" spans="1:13" ht="13.5" customHeight="1" x14ac:dyDescent="0.25">
      <c r="A430" s="4" t="s">
        <v>564</v>
      </c>
      <c r="B430" s="11" t="s">
        <v>565</v>
      </c>
      <c r="C430" s="4" t="s">
        <v>2</v>
      </c>
      <c r="D430" s="5" t="d">
        <v>2014-04-21</v>
      </c>
      <c r="E430" s="4">
        <f>2024-2014</f>
        <v>10</v>
      </c>
      <c r="F430" s="6">
        <v>36598198</v>
      </c>
      <c r="G430" s="40" t="s">
        <v>962</v>
      </c>
      <c r="H430" s="4" t="s">
        <v>17</v>
      </c>
      <c r="I430" s="17" t="s">
        <v>4</v>
      </c>
      <c r="J430" s="17" t="s">
        <v>5</v>
      </c>
      <c r="K430" s="27"/>
      <c r="L430" s="27"/>
      <c r="M430" s="27"/>
    </row>
    <row r="431" spans="1:13" ht="15" customHeight="1" x14ac:dyDescent="0.25">
      <c r="A431" s="4" t="s">
        <v>566</v>
      </c>
      <c r="B431" s="4" t="s">
        <v>567</v>
      </c>
      <c r="C431" s="4" t="s">
        <v>7</v>
      </c>
      <c r="D431" s="5" t="d">
        <v>2015-05-15</v>
      </c>
      <c r="E431" s="4">
        <f>2024-2015</f>
        <v>9</v>
      </c>
      <c r="F431" s="6" t="s">
        <v>829</v>
      </c>
      <c r="G431" s="40" t="s">
        <v>962</v>
      </c>
      <c r="H431" s="4" t="s">
        <v>15</v>
      </c>
      <c r="I431" s="17" t="s">
        <v>4</v>
      </c>
      <c r="J431" s="17" t="s">
        <v>5</v>
      </c>
      <c r="K431" s="27"/>
      <c r="L431" s="27"/>
      <c r="M431" s="27"/>
    </row>
    <row r="432" spans="1:13" ht="15.75" customHeight="1" x14ac:dyDescent="0.25">
      <c r="A432" s="4" t="s">
        <v>568</v>
      </c>
      <c r="B432" s="4" t="s">
        <v>569</v>
      </c>
      <c r="C432" s="4" t="s">
        <v>7</v>
      </c>
      <c r="D432" s="5" t="d">
        <v>2020-03-06</v>
      </c>
      <c r="E432" s="4">
        <f>2024-2020</f>
        <v>4</v>
      </c>
      <c r="F432" s="6" t="s">
        <v>830</v>
      </c>
      <c r="G432" s="40" t="s">
        <v>962</v>
      </c>
      <c r="H432" s="4" t="s">
        <v>15</v>
      </c>
      <c r="I432" s="17" t="s">
        <v>4</v>
      </c>
      <c r="J432" s="17" t="s">
        <v>5</v>
      </c>
      <c r="K432" s="27"/>
      <c r="L432" s="27"/>
      <c r="M432" s="27"/>
    </row>
    <row r="433" spans="1:13" ht="14.25" customHeight="1" x14ac:dyDescent="0.25">
      <c r="A433" s="4" t="s">
        <v>570</v>
      </c>
      <c r="B433" s="4" t="s">
        <v>571</v>
      </c>
      <c r="C433" s="4" t="s">
        <v>7</v>
      </c>
      <c r="D433" s="5" t="d">
        <v>2023-09-05</v>
      </c>
      <c r="E433" s="4">
        <f>2024-2023</f>
        <v>1</v>
      </c>
      <c r="F433" s="6" t="s">
        <v>831</v>
      </c>
      <c r="G433" s="40" t="s">
        <v>962</v>
      </c>
      <c r="H433" s="4" t="s">
        <v>15</v>
      </c>
      <c r="I433" s="17" t="s">
        <v>4</v>
      </c>
      <c r="J433" s="17" t="s">
        <v>5</v>
      </c>
      <c r="K433" s="27"/>
      <c r="L433" s="27"/>
      <c r="M433" s="27"/>
    </row>
    <row r="434" spans="1:13" ht="17.25" customHeight="1" x14ac:dyDescent="0.25">
      <c r="A434" s="4" t="s">
        <v>572</v>
      </c>
      <c r="B434" s="4" t="s">
        <v>573</v>
      </c>
      <c r="C434" s="4" t="s">
        <v>2</v>
      </c>
      <c r="D434" s="5" t="d">
        <v>2024-11-08</v>
      </c>
      <c r="E434" s="4">
        <v>1</v>
      </c>
      <c r="F434" s="6" t="s">
        <v>832</v>
      </c>
      <c r="G434" s="40" t="s">
        <v>962</v>
      </c>
      <c r="H434" s="4" t="s">
        <v>17</v>
      </c>
      <c r="I434" s="17" t="s">
        <v>4</v>
      </c>
      <c r="J434" s="17" t="s">
        <v>5</v>
      </c>
      <c r="K434" s="27"/>
      <c r="L434" s="27"/>
      <c r="M434" s="27"/>
    </row>
    <row r="435" spans="1:13" ht="18" customHeight="1" x14ac:dyDescent="0.25">
      <c r="A435" s="1" t="s">
        <v>679</v>
      </c>
      <c r="B435" s="22" t="s">
        <v>680</v>
      </c>
      <c r="C435" s="1" t="s">
        <v>2</v>
      </c>
      <c r="D435" s="2" t="d">
        <v>1962-04-21</v>
      </c>
      <c r="E435" s="22">
        <f>2024-1962</f>
        <v>62</v>
      </c>
      <c r="F435" s="3">
        <v>8085901</v>
      </c>
      <c r="G435" s="23" t="s">
        <v>3</v>
      </c>
      <c r="H435" s="23" t="s">
        <v>3</v>
      </c>
      <c r="I435" s="22" t="s">
        <v>31</v>
      </c>
      <c r="J435" s="22" t="s">
        <v>5</v>
      </c>
      <c r="K435" s="27"/>
      <c r="L435" s="27"/>
      <c r="M435" s="27"/>
    </row>
    <row r="436" spans="1:13" x14ac:dyDescent="0.25">
      <c r="A436" s="4" t="s">
        <v>681</v>
      </c>
      <c r="B436" s="17" t="s">
        <v>682</v>
      </c>
      <c r="C436" s="4" t="s">
        <v>7</v>
      </c>
      <c r="D436" s="5" t="d">
        <v>1962-02-26</v>
      </c>
      <c r="E436" s="17">
        <f>2025-1962</f>
        <v>63</v>
      </c>
      <c r="F436" s="6">
        <v>8083543</v>
      </c>
      <c r="G436" s="40" t="s">
        <v>962</v>
      </c>
      <c r="H436" s="39" t="s">
        <v>960</v>
      </c>
      <c r="I436" s="17" t="s">
        <v>4</v>
      </c>
      <c r="J436" s="17" t="s">
        <v>5</v>
      </c>
      <c r="K436" s="27"/>
      <c r="L436" s="27"/>
      <c r="M436" s="27"/>
    </row>
    <row r="437" spans="1:13" x14ac:dyDescent="0.25">
      <c r="A437" s="4" t="s">
        <v>683</v>
      </c>
      <c r="B437" s="17" t="s">
        <v>684</v>
      </c>
      <c r="C437" s="4" t="s">
        <v>2</v>
      </c>
      <c r="D437" s="5" t="d">
        <v>2009-01-31</v>
      </c>
      <c r="E437" s="17">
        <f>2025-2009</f>
        <v>16</v>
      </c>
      <c r="F437" s="6">
        <v>32938588</v>
      </c>
      <c r="G437" s="40" t="s">
        <v>962</v>
      </c>
      <c r="H437" s="4" t="s">
        <v>17</v>
      </c>
      <c r="I437" s="17" t="s">
        <v>4</v>
      </c>
      <c r="J437" s="17" t="s">
        <v>5</v>
      </c>
      <c r="K437" s="27"/>
      <c r="L437" s="27"/>
      <c r="M437" s="27"/>
    </row>
    <row r="438" spans="1:13" x14ac:dyDescent="0.25">
      <c r="A438" s="4" t="s">
        <v>612</v>
      </c>
      <c r="B438" s="17" t="s">
        <v>685</v>
      </c>
      <c r="C438" s="4" t="s">
        <v>7</v>
      </c>
      <c r="D438" s="5" t="d">
        <v>2012-07-11</v>
      </c>
      <c r="E438" s="17">
        <f>2024-2012</f>
        <v>12</v>
      </c>
      <c r="F438" s="6" t="s">
        <v>847</v>
      </c>
      <c r="G438" s="40" t="s">
        <v>962</v>
      </c>
      <c r="H438" s="4" t="s">
        <v>15</v>
      </c>
      <c r="I438" s="17" t="s">
        <v>4</v>
      </c>
      <c r="J438" s="17" t="s">
        <v>5</v>
      </c>
      <c r="K438" s="27"/>
      <c r="L438" s="27"/>
      <c r="M438" s="27"/>
    </row>
    <row r="439" spans="1:13" ht="14.25" customHeight="1" x14ac:dyDescent="0.25">
      <c r="A439" s="4" t="s">
        <v>686</v>
      </c>
      <c r="B439" s="17" t="s">
        <v>687</v>
      </c>
      <c r="C439" s="4" t="s">
        <v>2</v>
      </c>
      <c r="D439" s="5" t="d">
        <v>2017-04-10</v>
      </c>
      <c r="E439" s="17">
        <f>2024-2017</f>
        <v>7</v>
      </c>
      <c r="F439" s="6" t="s">
        <v>848</v>
      </c>
      <c r="G439" s="40" t="s">
        <v>962</v>
      </c>
      <c r="H439" s="4" t="s">
        <v>17</v>
      </c>
      <c r="I439" s="17" t="s">
        <v>4</v>
      </c>
      <c r="J439" s="17" t="s">
        <v>5</v>
      </c>
      <c r="K439" s="27"/>
      <c r="L439" s="27"/>
      <c r="M439" s="27"/>
    </row>
    <row r="440" spans="1:13" ht="15" customHeight="1" x14ac:dyDescent="0.25">
      <c r="A440" s="4" t="s">
        <v>688</v>
      </c>
      <c r="B440" s="17" t="s">
        <v>689</v>
      </c>
      <c r="C440" s="4" t="s">
        <v>2</v>
      </c>
      <c r="D440" s="5" t="d">
        <v>2018-10-21</v>
      </c>
      <c r="E440" s="17">
        <f>2024-2018</f>
        <v>6</v>
      </c>
      <c r="F440" s="6" t="s">
        <v>849</v>
      </c>
      <c r="G440" s="40" t="s">
        <v>962</v>
      </c>
      <c r="H440" s="4" t="s">
        <v>17</v>
      </c>
      <c r="I440" s="17" t="s">
        <v>4</v>
      </c>
      <c r="J440" s="17" t="s">
        <v>5</v>
      </c>
      <c r="K440" s="27"/>
      <c r="L440" s="27"/>
      <c r="M440" s="27"/>
    </row>
    <row r="441" spans="1:13" ht="15.75" customHeight="1" x14ac:dyDescent="0.25">
      <c r="A441" s="1" t="s">
        <v>122</v>
      </c>
      <c r="B441" s="22" t="s">
        <v>123</v>
      </c>
      <c r="C441" s="22" t="s">
        <v>2</v>
      </c>
      <c r="D441" s="2" t="d">
        <v>1953-12-01</v>
      </c>
      <c r="E441" s="22">
        <f>2024-1953</f>
        <v>71</v>
      </c>
      <c r="F441" s="3">
        <v>5198051</v>
      </c>
      <c r="G441" s="23" t="s">
        <v>3</v>
      </c>
      <c r="H441" s="23" t="s">
        <v>3</v>
      </c>
      <c r="I441" s="22" t="s">
        <v>31</v>
      </c>
      <c r="J441" s="23" t="s">
        <v>5</v>
      </c>
      <c r="K441" s="27"/>
      <c r="L441" s="27"/>
      <c r="M441" s="27"/>
    </row>
    <row r="442" spans="1:13" x14ac:dyDescent="0.25">
      <c r="A442" s="4" t="s">
        <v>124</v>
      </c>
      <c r="B442" s="17" t="s">
        <v>125</v>
      </c>
      <c r="C442" s="4" t="s">
        <v>7</v>
      </c>
      <c r="D442" s="5" t="d">
        <v>1953-04-28</v>
      </c>
      <c r="E442" s="17">
        <f>2024-1953</f>
        <v>71</v>
      </c>
      <c r="F442" s="6">
        <v>5204232</v>
      </c>
      <c r="G442" s="40" t="s">
        <v>962</v>
      </c>
      <c r="H442" s="39" t="s">
        <v>960</v>
      </c>
      <c r="I442" s="17" t="s">
        <v>31</v>
      </c>
      <c r="J442" s="17" t="s">
        <v>5</v>
      </c>
      <c r="K442" s="27"/>
      <c r="L442" s="27"/>
      <c r="M442" s="27"/>
    </row>
    <row r="443" spans="1:13" ht="14.25" customHeight="1" x14ac:dyDescent="0.25">
      <c r="A443" s="4" t="s">
        <v>126</v>
      </c>
      <c r="B443" s="17" t="s">
        <v>127</v>
      </c>
      <c r="C443" s="4" t="s">
        <v>7</v>
      </c>
      <c r="D443" s="5" t="d">
        <v>2008-06-25</v>
      </c>
      <c r="E443" s="17">
        <f>2024-1953</f>
        <v>71</v>
      </c>
      <c r="F443" s="6">
        <v>32344265</v>
      </c>
      <c r="G443" s="40" t="s">
        <v>962</v>
      </c>
      <c r="H443" s="4" t="s">
        <v>15</v>
      </c>
      <c r="I443" s="17" t="s">
        <v>4</v>
      </c>
      <c r="J443" s="17" t="s">
        <v>5</v>
      </c>
      <c r="K443" s="27"/>
      <c r="L443" s="27"/>
      <c r="M443" s="27"/>
    </row>
    <row r="444" spans="1:13" ht="12.75" customHeight="1" x14ac:dyDescent="0.25">
      <c r="A444" s="4" t="s">
        <v>128</v>
      </c>
      <c r="B444" s="17" t="s">
        <v>129</v>
      </c>
      <c r="C444" s="4" t="s">
        <v>7</v>
      </c>
      <c r="D444" s="5" t="d">
        <v>2011-04-08</v>
      </c>
      <c r="E444" s="17">
        <f>2024-2011</f>
        <v>13</v>
      </c>
      <c r="F444" s="6">
        <v>32722977</v>
      </c>
      <c r="G444" s="40" t="s">
        <v>962</v>
      </c>
      <c r="H444" s="4" t="s">
        <v>15</v>
      </c>
      <c r="I444" s="17" t="s">
        <v>4</v>
      </c>
      <c r="J444" s="17" t="s">
        <v>5</v>
      </c>
      <c r="K444" s="27"/>
      <c r="L444" s="27"/>
      <c r="M444" s="27"/>
    </row>
    <row r="445" spans="1:13" ht="14.25" customHeight="1" x14ac:dyDescent="0.25">
      <c r="A445" s="4" t="s">
        <v>128</v>
      </c>
      <c r="B445" s="17" t="s">
        <v>130</v>
      </c>
      <c r="C445" s="4" t="s">
        <v>7</v>
      </c>
      <c r="D445" s="5" t="d">
        <v>2016-03-28</v>
      </c>
      <c r="E445" s="17">
        <f>2024-2016</f>
        <v>8</v>
      </c>
      <c r="F445" s="6" t="s">
        <v>778</v>
      </c>
      <c r="G445" s="40" t="s">
        <v>962</v>
      </c>
      <c r="H445" s="4" t="s">
        <v>15</v>
      </c>
      <c r="I445" s="17" t="s">
        <v>4</v>
      </c>
      <c r="J445" s="17" t="s">
        <v>5</v>
      </c>
      <c r="K445" s="27"/>
      <c r="L445" s="27"/>
      <c r="M445" s="27"/>
    </row>
    <row r="446" spans="1:13" x14ac:dyDescent="0.25">
      <c r="A446" s="1" t="s">
        <v>945</v>
      </c>
      <c r="B446" s="22" t="s">
        <v>946</v>
      </c>
      <c r="C446" s="1" t="s">
        <v>2</v>
      </c>
      <c r="D446" s="2" t="d">
        <v>1981-10-12</v>
      </c>
      <c r="E446" s="22">
        <f>2024-1981</f>
        <v>43</v>
      </c>
      <c r="F446" s="3">
        <v>15516084</v>
      </c>
      <c r="G446" s="22" t="s">
        <v>3</v>
      </c>
      <c r="H446" s="1" t="s">
        <v>3</v>
      </c>
      <c r="I446" s="22" t="s">
        <v>31</v>
      </c>
      <c r="J446" s="22" t="s">
        <v>5</v>
      </c>
      <c r="K446" s="27"/>
      <c r="L446" s="27"/>
      <c r="M446" s="27"/>
    </row>
    <row r="447" spans="1:13" x14ac:dyDescent="0.25">
      <c r="A447" s="4" t="s">
        <v>940</v>
      </c>
      <c r="B447" s="17" t="s">
        <v>941</v>
      </c>
      <c r="C447" s="4" t="s">
        <v>7</v>
      </c>
      <c r="D447" s="5" t="d">
        <v>1978-07-07</v>
      </c>
      <c r="E447" s="17">
        <f>2024-1978</f>
        <v>46</v>
      </c>
      <c r="F447" s="6">
        <v>14106088</v>
      </c>
      <c r="G447" s="40" t="s">
        <v>962</v>
      </c>
      <c r="H447" s="39" t="s">
        <v>960</v>
      </c>
      <c r="I447" s="17" t="s">
        <v>31</v>
      </c>
      <c r="J447" s="17" t="s">
        <v>5</v>
      </c>
      <c r="K447" s="27"/>
      <c r="L447" s="27"/>
      <c r="M447" s="27"/>
    </row>
    <row r="448" spans="1:13" x14ac:dyDescent="0.25">
      <c r="A448" s="4" t="s">
        <v>940</v>
      </c>
      <c r="B448" s="17" t="s">
        <v>942</v>
      </c>
      <c r="C448" s="4" t="s">
        <v>2</v>
      </c>
      <c r="D448" s="5" t="d">
        <v>2016-11-10</v>
      </c>
      <c r="E448" s="17">
        <v>9</v>
      </c>
      <c r="F448" s="38" t="s">
        <v>958</v>
      </c>
      <c r="G448" s="40" t="s">
        <v>962</v>
      </c>
      <c r="H448" s="4" t="s">
        <v>6</v>
      </c>
      <c r="I448" s="17" t="s">
        <v>4</v>
      </c>
      <c r="J448" s="17" t="s">
        <v>5</v>
      </c>
      <c r="K448" s="27"/>
      <c r="L448" s="27"/>
      <c r="M448" s="27"/>
    </row>
    <row r="449" spans="1:13" x14ac:dyDescent="0.25">
      <c r="A449" s="4" t="s">
        <v>943</v>
      </c>
      <c r="B449" s="17" t="s">
        <v>944</v>
      </c>
      <c r="C449" s="4" t="s">
        <v>2</v>
      </c>
      <c r="D449" s="5" t="d">
        <v>1955-10-09</v>
      </c>
      <c r="E449" s="17">
        <f>2024-1955</f>
        <v>69</v>
      </c>
      <c r="F449" s="6">
        <v>5197602</v>
      </c>
      <c r="G449" s="40" t="s">
        <v>962</v>
      </c>
      <c r="H449" s="4" t="s">
        <v>8</v>
      </c>
      <c r="I449" s="17" t="s">
        <v>4</v>
      </c>
      <c r="J449" s="17" t="s">
        <v>5</v>
      </c>
      <c r="K449" s="27"/>
      <c r="L449" s="27"/>
      <c r="M449" s="27"/>
    </row>
  </sheetData>
  <autoFilter ref="A1:M449" xr:uid="{F3BB04A3-30F9-42E0-94C3-AE516CD17E38}"/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Yuraima</dc:creator>
  <cp:lastModifiedBy>Daniel</cp:lastModifiedBy>
  <cp:lastPrinted>2025-03-27T14:53:51Z</cp:lastPrinted>
  <dcterms:created xsi:type="dcterms:W3CDTF">2025-02-22T12:59:12Z</dcterms:created>
  <dcterms:modified xsi:type="dcterms:W3CDTF">2025-06-08T15:35:20Z</dcterms:modified>
</cp:coreProperties>
</file>